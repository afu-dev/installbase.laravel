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1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hneiderelectric.sharepoint.com/sites/PMOIBCyberSecurityprogramGroup/Shared Documents/01 - Program management/03 - LOB/"/>
    </mc:Choice>
  </mc:AlternateContent>
  <xr:revisionPtr revIDLastSave="12609" documentId="8_{9479C383-68A0-4797-8379-C9604D873EBD}" xr6:coauthVersionLast="47" xr6:coauthVersionMax="47" xr10:uidLastSave="{94CDE583-6115-45DA-A1B8-DE7E02B83A83}"/>
  <bookViews>
    <workbookView xWindow="28680" yWindow="-120" windowWidth="29040" windowHeight="15720" tabRatio="908" firstSheet="1" activeTab="9" xr2:uid="{440A6ED0-9E4D-4E51-86FC-73D9AE01FEA4}"/>
  </bookViews>
  <sheets>
    <sheet name="SUMUP " sheetId="14" state="hidden" r:id="rId1"/>
    <sheet name="Summary Sheet" sheetId="19" r:id="rId2"/>
    <sheet name="M-o-M" sheetId="23" r:id="rId3"/>
    <sheet name="Capability Table" sheetId="20" r:id="rId4"/>
    <sheet name="Industrial Automation" sheetId="9" r:id="rId5"/>
    <sheet name="Digital Power" sheetId="3" r:id="rId6"/>
    <sheet name="MicroGrid" sheetId="24" r:id="rId7"/>
    <sheet name="EcoStruxure Power" sheetId="25" r:id="rId8"/>
    <sheet name="Power Products" sheetId="8" r:id="rId9"/>
    <sheet name="Secure Power" sheetId="26" r:id="rId10"/>
    <sheet name="Secure Power (OLD)" sheetId="11" state="hidden" r:id="rId11"/>
    <sheet name="Digital Building" sheetId="4" r:id="rId12"/>
    <sheet name="Home &amp; Distribution" sheetId="13" r:id="rId13"/>
    <sheet name="Power System" sheetId="17" r:id="rId14"/>
    <sheet name="Innovation at the edge" sheetId="16" r:id="rId15"/>
    <sheet name="AVEVA" sheetId="12" r:id="rId16"/>
    <sheet name="Do NOT Use" sheetId="21" r:id="rId17"/>
    <sheet name="Secure Power (extra data)" sheetId="27" r:id="rId18"/>
    <sheet name="Secure Power (NEW)" sheetId="22" state="hidden" r:id="rId19"/>
  </sheets>
  <definedNames>
    <definedName name="_xlnm._FilterDatabase" localSheetId="11" hidden="1">'Digital Building'!#REF!</definedName>
    <definedName name="_xlnm._FilterDatabase" localSheetId="5" hidden="1">'Digital Power'!#REF!</definedName>
    <definedName name="_xlnm._FilterDatabase" localSheetId="7" hidden="1">'EcoStruxure Power'!#REF!</definedName>
    <definedName name="_xlnm._FilterDatabase" localSheetId="12" hidden="1">'Home &amp; Distribution'!#REF!</definedName>
    <definedName name="_xlnm._FilterDatabase" localSheetId="6" hidden="1">MicroGrid!#REF!</definedName>
    <definedName name="_xlnm._FilterDatabase" localSheetId="8" hidden="1">'Power Products'!$A$2:$B$24</definedName>
    <definedName name="_xlnm._FilterDatabase" localSheetId="13" hidden="1">'Power System'!#REF!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26" l="1"/>
  <c r="D12" i="19" s="1"/>
  <c r="B1" i="26"/>
  <c r="F12" i="19" s="1"/>
  <c r="A1" i="26"/>
  <c r="H12" i="19" s="1"/>
  <c r="E12" i="19" l="1"/>
  <c r="G12" i="19"/>
  <c r="I48" i="14"/>
  <c r="I54" i="14"/>
  <c r="H10" i="19"/>
  <c r="J10" i="19" s="1"/>
  <c r="G10" i="19"/>
  <c r="F10" i="19"/>
  <c r="D10" i="19"/>
  <c r="D11" i="19"/>
  <c r="F11" i="19"/>
  <c r="H11" i="19"/>
  <c r="J11" i="19" s="1"/>
  <c r="G11" i="19"/>
  <c r="E11" i="19"/>
  <c r="E10" i="19"/>
  <c r="E1" i="25"/>
  <c r="D1" i="25"/>
  <c r="C1" i="25"/>
  <c r="B1" i="25"/>
  <c r="E1" i="24"/>
  <c r="D1" i="24"/>
  <c r="C1" i="24"/>
  <c r="B1" i="24"/>
  <c r="L47" i="14"/>
  <c r="I47" i="14"/>
  <c r="I10" i="19" l="1"/>
  <c r="I11" i="19"/>
  <c r="E1" i="3"/>
  <c r="I51" i="14"/>
  <c r="H15" i="19" l="1"/>
  <c r="G15" i="19"/>
  <c r="D1" i="9"/>
  <c r="E1" i="9"/>
  <c r="R16" i="20" l="1"/>
  <c r="E37" i="20"/>
  <c r="E38" i="20" s="1"/>
  <c r="D37" i="20"/>
  <c r="D1" i="22"/>
  <c r="B1" i="22"/>
  <c r="A1" i="22"/>
  <c r="I56" i="14"/>
  <c r="O26" i="20" l="1"/>
  <c r="F15" i="19"/>
  <c r="E15" i="19"/>
  <c r="I15" i="19" s="1"/>
  <c r="E13" i="20" s="1"/>
  <c r="D15" i="19" l="1"/>
  <c r="L53" i="14"/>
  <c r="I53" i="14"/>
  <c r="L48" i="14"/>
  <c r="C1" i="13"/>
  <c r="C1" i="17"/>
  <c r="E1" i="8"/>
  <c r="D13" i="19" s="1"/>
  <c r="D11" i="20" s="1"/>
  <c r="E1" i="11"/>
  <c r="D10" i="20" s="1"/>
  <c r="D1" i="3"/>
  <c r="D1" i="8"/>
  <c r="F13" i="19" s="1"/>
  <c r="C1" i="8"/>
  <c r="B1" i="17"/>
  <c r="A1" i="17"/>
  <c r="B1" i="13"/>
  <c r="F14" i="19" s="1"/>
  <c r="A1" i="13"/>
  <c r="H14" i="19" s="1"/>
  <c r="B1" i="11"/>
  <c r="A1" i="11"/>
  <c r="C1" i="3"/>
  <c r="F9" i="19" s="1"/>
  <c r="B1" i="3"/>
  <c r="I52" i="14"/>
  <c r="C1" i="4"/>
  <c r="B1" i="4"/>
  <c r="F8" i="19" s="1"/>
  <c r="A1" i="4"/>
  <c r="B1" i="9"/>
  <c r="E5" i="19" s="1"/>
  <c r="C1" i="9"/>
  <c r="F5" i="19" s="1"/>
  <c r="L52" i="14"/>
  <c r="L54" i="14"/>
  <c r="L55" i="14"/>
  <c r="L56" i="14"/>
  <c r="L51" i="14"/>
  <c r="I55" i="14"/>
  <c r="S32" i="14"/>
  <c r="S33" i="14"/>
  <c r="S34" i="14"/>
  <c r="S35" i="14"/>
  <c r="S36" i="14"/>
  <c r="S37" i="14"/>
  <c r="S38" i="14"/>
  <c r="S39" i="14"/>
  <c r="S31" i="14"/>
  <c r="D8" i="19" l="1"/>
  <c r="D9" i="20" s="1"/>
  <c r="H9" i="19"/>
  <c r="G9" i="19"/>
  <c r="E13" i="19"/>
  <c r="G13" i="19"/>
  <c r="H13" i="19"/>
  <c r="J13" i="19" s="1"/>
  <c r="E9" i="19"/>
  <c r="E8" i="19"/>
  <c r="H8" i="19"/>
  <c r="G8" i="19"/>
  <c r="E14" i="19"/>
  <c r="I14" i="19" s="1"/>
  <c r="E12" i="20" s="1"/>
  <c r="G14" i="19"/>
  <c r="I12" i="19"/>
  <c r="E10" i="20" s="1"/>
  <c r="F10" i="20" s="1"/>
  <c r="D14" i="19"/>
  <c r="D12" i="20" s="1"/>
  <c r="D5" i="19"/>
  <c r="D5" i="20" s="1"/>
  <c r="D9" i="19"/>
  <c r="D8" i="20" s="1"/>
  <c r="O53" i="14"/>
  <c r="J15" i="19"/>
  <c r="D13" i="20"/>
  <c r="F13" i="20" s="1"/>
  <c r="I5" i="19"/>
  <c r="E5" i="20" s="1"/>
  <c r="F19" i="19"/>
  <c r="O56" i="14"/>
  <c r="O55" i="14"/>
  <c r="O54" i="14"/>
  <c r="O51" i="14"/>
  <c r="O52" i="14"/>
  <c r="O48" i="14"/>
  <c r="I57" i="14"/>
  <c r="L57" i="14"/>
  <c r="O47" i="14"/>
  <c r="I49" i="14"/>
  <c r="L49" i="14"/>
  <c r="P40" i="14"/>
  <c r="M40" i="14"/>
  <c r="O24" i="14"/>
  <c r="R21" i="14"/>
  <c r="R22" i="14"/>
  <c r="R23" i="14"/>
  <c r="R20" i="14"/>
  <c r="R14" i="14"/>
  <c r="R15" i="14"/>
  <c r="R16" i="14"/>
  <c r="R17" i="14"/>
  <c r="R18" i="14"/>
  <c r="R13" i="14"/>
  <c r="R11" i="14"/>
  <c r="R8" i="14"/>
  <c r="R9" i="14"/>
  <c r="R7" i="14"/>
  <c r="L24" i="14"/>
  <c r="F12" i="20" l="1"/>
  <c r="J9" i="19"/>
  <c r="I13" i="19"/>
  <c r="E11" i="20" s="1"/>
  <c r="F11" i="20" s="1"/>
  <c r="H19" i="19"/>
  <c r="I9" i="19"/>
  <c r="E8" i="20" s="1"/>
  <c r="F8" i="20" s="1"/>
  <c r="E19" i="19"/>
  <c r="J12" i="19"/>
  <c r="J8" i="19"/>
  <c r="I8" i="19"/>
  <c r="E9" i="20" s="1"/>
  <c r="F9" i="20" s="1"/>
  <c r="G19" i="19"/>
  <c r="J14" i="19"/>
  <c r="D19" i="19"/>
  <c r="F5" i="20"/>
  <c r="J5" i="19"/>
  <c r="D14" i="20"/>
  <c r="O57" i="14"/>
  <c r="O49" i="14"/>
  <c r="S40" i="14"/>
  <c r="R24" i="14"/>
  <c r="I19" i="19" l="1"/>
  <c r="I20" i="19" s="1"/>
  <c r="E14" i="20"/>
  <c r="E15" i="20" s="1"/>
  <c r="H20" i="19"/>
  <c r="G20" i="19"/>
  <c r="E20" i="19"/>
  <c r="F2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tc={166331F6-A800-4DFC-B373-77E2153CCAEB}</author>
    <author>tc={E9A2A578-384F-42DA-9F39-E8A7624AEFEE}</author>
    <author>tc={D5CBA914-4823-478E-94AE-6E383CE5ABAE}</author>
    <author>tc={33488FA3-8A0A-40AA-BD07-DF3B4F6489AD}</author>
  </authors>
  <commentList>
    <comment ref="F2" authorId="0" shapeId="0" xr:uid="{166331F6-A800-4DFC-B373-77E2153CCAE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To be verified by IA BU</t>
      </text>
    </comment>
    <comment ref="B59" authorId="1" shapeId="0" xr:uid="{E9A2A578-384F-42DA-9F39-E8A7624AEFE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TBC. Seen as Process Control on BS</t>
      </text>
    </comment>
    <comment ref="D145" authorId="2" shapeId="0" xr:uid="{D5CBA914-4823-478E-94AE-6E383CE5ABA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Added. Was not included in the offer list but seen as OT exposure.</t>
      </text>
    </comment>
    <comment ref="D146" authorId="3" shapeId="0" xr:uid="{33488FA3-8A0A-40AA-BD07-DF3B4F6489A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Added. Was not included in the offer list but seen as OT exposure.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tc={EB63183D-94BA-4109-AC60-E854E0C7B433}</author>
    <author>tc={4DE73123-A09A-402C-A615-ABA00B4C92CD}</author>
    <author>tc={662D9F44-96D0-47F0-B638-FCF65C45EC1D}</author>
  </authors>
  <commentList>
    <comment ref="D5" authorId="0" shapeId="0" xr:uid="{EB63183D-94BA-4109-AC60-E854E0C7B43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Didn't do anything Active</t>
      </text>
    </comment>
    <comment ref="D9" authorId="1" shapeId="0" xr:uid="{4DE73123-A09A-402C-A615-ABA00B4C92C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(Need to check)</t>
      </text>
    </comment>
    <comment ref="D21" authorId="2" shapeId="0" xr:uid="{662D9F44-96D0-47F0-B638-FCF65C45EC1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need to check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Krishna Dixit</author>
    <author>tc={D077409D-4001-4593-AE54-573E0919B70D}</author>
    <author>Osman Kocoglu</author>
    <author>tc={163F98B1-939A-40F5-838C-BC7344B3A951}</author>
  </authors>
  <commentList>
    <comment ref="E4" authorId="0" shapeId="0" xr:uid="{ECDD94D0-0EB1-4697-B597-9157637BF544}">
      <text>
        <r>
          <rPr>
            <b/>
            <sz val="9"/>
            <color indexed="81"/>
            <rFont val="Tahoma"/>
            <family val="2"/>
          </rPr>
          <t>Krishna Dixit:</t>
        </r>
        <r>
          <rPr>
            <sz val="9"/>
            <color indexed="81"/>
            <rFont val="Tahoma"/>
            <family val="2"/>
          </rPr>
          <t xml:space="preserve">
Osman to check with PP team about this product range</t>
        </r>
      </text>
    </comment>
    <comment ref="E5" authorId="1" shapeId="0" xr:uid="{D077409D-4001-4593-AE54-573E0919B70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Combine NS&gt;630A &amp; NS Switch-disconn</t>
      </text>
    </comment>
    <comment ref="K13" authorId="2" shapeId="0" xr:uid="{1C334D2B-D853-490B-9BB2-5FACB2D6DF32}">
      <text>
        <r>
          <rPr>
            <sz val="11"/>
            <color theme="1"/>
            <rFont val="Calibri"/>
            <family val="2"/>
            <scheme val="minor"/>
          </rPr>
          <t>END of commercialization</t>
        </r>
      </text>
    </comment>
    <comment ref="K14" authorId="2" shapeId="0" xr:uid="{4583110A-C71F-4604-90CF-F36EBAFDDD65}">
      <text>
        <r>
          <rPr>
            <sz val="11"/>
            <color theme="1"/>
            <rFont val="Calibri"/>
            <family val="2"/>
            <scheme val="minor"/>
          </rPr>
          <t>END of commercialization</t>
        </r>
      </text>
    </comment>
    <comment ref="E15" authorId="2" shapeId="0" xr:uid="{2028B512-B47B-4359-B6C0-F4186A868062}">
      <text>
        <r>
          <rPr>
            <sz val="11"/>
            <color theme="1"/>
            <rFont val="Calibri"/>
            <family val="2"/>
            <scheme val="minor"/>
          </rPr>
          <t>Orion Trip Unit = MacterPact MTZ active</t>
        </r>
      </text>
    </comment>
    <comment ref="K17" authorId="2" shapeId="0" xr:uid="{4DD6DBF3-E048-45D7-8443-23F7DB7E809F}">
      <text>
        <r>
          <rPr>
            <sz val="11"/>
            <color theme="1"/>
            <rFont val="Calibri"/>
            <family val="2"/>
            <scheme val="minor"/>
          </rPr>
          <t>END of commercialization</t>
        </r>
      </text>
    </comment>
    <comment ref="K18" authorId="2" shapeId="0" xr:uid="{3F7F05F4-B32C-49EC-8FB8-5C79C69DE578}">
      <text>
        <r>
          <rPr>
            <sz val="11"/>
            <color theme="1"/>
            <rFont val="Calibri"/>
            <family val="2"/>
            <scheme val="minor"/>
          </rPr>
          <t>END of commercialization</t>
        </r>
      </text>
    </comment>
    <comment ref="E19" authorId="2" shapeId="0" xr:uid="{C2A114F0-59CE-49B8-BC8B-6CAC59B30365}">
      <text>
        <r>
          <rPr>
            <sz val="11"/>
            <color theme="1"/>
            <rFont val="Calibri"/>
            <family val="2"/>
            <scheme val="minor"/>
          </rPr>
          <t>PP ASCO</t>
        </r>
      </text>
    </comment>
    <comment ref="E22" authorId="0" shapeId="0" xr:uid="{FBB367EA-368A-48FE-B868-36E0A47E9D2A}">
      <text>
        <r>
          <rPr>
            <b/>
            <sz val="9"/>
            <color indexed="81"/>
            <rFont val="Tahoma"/>
            <family val="2"/>
          </rPr>
          <t>Krishna Dixit:</t>
        </r>
        <r>
          <rPr>
            <sz val="9"/>
            <color indexed="81"/>
            <rFont val="Tahoma"/>
            <family val="2"/>
          </rPr>
          <t xml:space="preserve">
China for China offer</t>
        </r>
      </text>
    </comment>
    <comment ref="E23" authorId="0" shapeId="0" xr:uid="{B5162FA0-71EB-422C-A318-28CC81AC6AEA}">
      <text>
        <r>
          <rPr>
            <b/>
            <sz val="9"/>
            <color indexed="81"/>
            <rFont val="Tahoma"/>
            <family val="2"/>
          </rPr>
          <t>Krishna Dixit:</t>
        </r>
        <r>
          <rPr>
            <sz val="9"/>
            <color indexed="81"/>
            <rFont val="Tahoma"/>
            <family val="2"/>
          </rPr>
          <t xml:space="preserve">
China for China offer</t>
        </r>
      </text>
    </comment>
    <comment ref="E24" authorId="3" shapeId="0" xr:uid="{163F98B1-939A-40F5-838C-BC7344B3A95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On Hold for H&amp;D portfolio
Réponse :
    Moved from HSD to PP (Alba)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tc={49263B47-3F50-4B38-B7BA-E4340CA0A900}</author>
  </authors>
  <commentList>
    <comment ref="C5" authorId="0" shapeId="0" xr:uid="{49263B47-3F50-4B38-B7BA-E4340CA0A9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HSD to check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Osman Kocoglu</author>
    <author>tc={2066560F-6380-4E62-B005-00A51A497C01}</author>
    <author>tc={C9BA83C9-155C-402A-AC30-AFC5EE59633A}</author>
  </authors>
  <commentList>
    <comment ref="D3" authorId="0" shapeId="0" xr:uid="{7460991F-CC13-4C43-A629-EBAF05C565DA}">
      <text>
        <r>
          <rPr>
            <sz val="11"/>
            <color theme="1"/>
            <rFont val="Calibri"/>
            <family val="2"/>
            <scheme val="minor"/>
          </rPr>
          <t>Not part of PP</t>
        </r>
      </text>
    </comment>
    <comment ref="D4" authorId="0" shapeId="0" xr:uid="{16FDDA9C-4AE6-4BA0-B1A0-9552B47835DC}">
      <text>
        <r>
          <rPr>
            <sz val="11"/>
            <color theme="1"/>
            <rFont val="Calibri"/>
            <family val="2"/>
            <scheme val="minor"/>
          </rPr>
          <t>Not part of PP</t>
        </r>
      </text>
    </comment>
    <comment ref="D5" authorId="0" shapeId="0" xr:uid="{CF9767FC-2D63-4358-BFC1-99A455C1930E}">
      <text>
        <r>
          <rPr>
            <sz val="11"/>
            <color theme="1"/>
            <rFont val="Calibri"/>
            <family val="2"/>
            <scheme val="minor"/>
          </rPr>
          <t>Not part of PP
(Industry ?)</t>
        </r>
      </text>
    </comment>
    <comment ref="J8" authorId="0" shapeId="0" xr:uid="{95D60DEF-CA42-430C-AA52-FFB598A64DE1}">
      <text>
        <r>
          <rPr>
            <sz val="11"/>
            <color theme="1"/>
            <rFont val="Calibri"/>
            <family val="2"/>
            <scheme val="minor"/>
          </rPr>
          <t>END of commercialization</t>
        </r>
      </text>
    </comment>
    <comment ref="J9" authorId="0" shapeId="0" xr:uid="{574041CF-87DB-41F5-8567-FEE17FA41956}">
      <text>
        <r>
          <rPr>
            <sz val="11"/>
            <color theme="1"/>
            <rFont val="Calibri"/>
            <family val="2"/>
            <scheme val="minor"/>
          </rPr>
          <t>END of commercialization</t>
        </r>
      </text>
    </comment>
    <comment ref="D10" authorId="1" shapeId="0" xr:uid="{2066560F-6380-4E62-B005-00A51A497C0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To be removed from the list as no protocols supported</t>
      </text>
    </comment>
    <comment ref="D19" authorId="2" shapeId="0" xr:uid="{C9BA83C9-155C-402A-AC30-AFC5EE5963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It is part of Digital Energy. TBC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tc={572C1346-7797-4B35-9D4E-D332FE49D24B}</author>
    <author>tc={D8B0504B-A37A-4A28-8AD2-7C239598842C}</author>
    <author>tc={F0D50A94-779E-4A6D-9252-735F777CC36F}</author>
  </authors>
  <commentList>
    <comment ref="E70" authorId="0" shapeId="0" xr:uid="{572C1346-7797-4B35-9D4E-D332FE49D24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Serial Comms. Hence moved</t>
      </text>
    </comment>
    <comment ref="B71" authorId="1" shapeId="0" xr:uid="{D8B0504B-A37A-4A28-8AD2-7C239598842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Yes*</t>
      </text>
    </comment>
    <comment ref="E73" authorId="2" shapeId="0" xr:uid="{F0D50A94-779E-4A6D-9252-735F777CC36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To check with Digital Power team</t>
      </text>
    </comment>
  </commentList>
</comments>
</file>

<file path=xl/sharedStrings.xml><?xml version="1.0" encoding="utf-8"?>
<sst xmlns="http://schemas.openxmlformats.org/spreadsheetml/2006/main" count="10554" uniqueCount="1355">
  <si>
    <t>Business Unit (BU)</t>
  </si>
  <si>
    <t>Lines of Business (LOB)</t>
  </si>
  <si>
    <t>Connectable products</t>
  </si>
  <si>
    <t>Supects products</t>
  </si>
  <si>
    <t>TOTAL</t>
  </si>
  <si>
    <t>These amounts of product in each lob are not completely exhaustive same as the protocols listed within the list</t>
  </si>
  <si>
    <t>Industrial Automation</t>
  </si>
  <si>
    <t>Process Automation</t>
  </si>
  <si>
    <t>Digital Factory</t>
  </si>
  <si>
    <t>Industrial Control &amp; Drives</t>
  </si>
  <si>
    <t>AVEVA</t>
  </si>
  <si>
    <t>Energy Management</t>
  </si>
  <si>
    <t>Digital Power</t>
  </si>
  <si>
    <t>Digital Building</t>
  </si>
  <si>
    <t>Secure Power</t>
  </si>
  <si>
    <t xml:space="preserve">Power Products </t>
  </si>
  <si>
    <t xml:space="preserve">Power Systems </t>
  </si>
  <si>
    <t>Home &amp; Distribution</t>
  </si>
  <si>
    <t>Innovation at the Edge</t>
  </si>
  <si>
    <t>Digital Grid</t>
  </si>
  <si>
    <t>eMobility</t>
  </si>
  <si>
    <t>Energy storage &amp; Solar</t>
  </si>
  <si>
    <t>Company portfolio</t>
  </si>
  <si>
    <t>Product Ranges</t>
  </si>
  <si>
    <t>Product Ranges w/ Fingerprints</t>
  </si>
  <si>
    <t>Percentages of Ranges visible on the public internet</t>
  </si>
  <si>
    <t>Product Ranges
with Fingerprints</t>
  </si>
  <si>
    <t>%</t>
  </si>
  <si>
    <t>BU</t>
  </si>
  <si>
    <t>LOB</t>
  </si>
  <si>
    <t>No. of Connected Product Ranges</t>
  </si>
  <si>
    <t>Detection Status - SE Product Ranges</t>
  </si>
  <si>
    <t>Total Detection Capability (No, %)</t>
  </si>
  <si>
    <t>Seen on BS</t>
  </si>
  <si>
    <t>Seen on Shodan &amp; Censys</t>
  </si>
  <si>
    <t>Seen across all 3 platforms</t>
  </si>
  <si>
    <t>Additional Capability 
Internal (Y) + BS (N)</t>
  </si>
  <si>
    <t>Industrial Controls &amp; Drives</t>
  </si>
  <si>
    <t>Digital Power (D. Energy)</t>
  </si>
  <si>
    <t>Digital Buildings (D. Energy)</t>
  </si>
  <si>
    <t>Power Products</t>
  </si>
  <si>
    <t>Power Systems</t>
  </si>
  <si>
    <t>Innovation @ Edge</t>
  </si>
  <si>
    <t>Total</t>
  </si>
  <si>
    <t>Global Detection Status</t>
  </si>
  <si>
    <t>Assumptions / Activities done</t>
  </si>
  <si>
    <t>Action Needed</t>
  </si>
  <si>
    <t>All offers ranges have been manually identified.</t>
  </si>
  <si>
    <t>BU/LOB to confirm the list of offer ranges. Add/subtract based on latest updates available within the BU/LOB.</t>
  </si>
  <si>
    <t>Some offer ranges don't have connectable products</t>
  </si>
  <si>
    <t>Confirmation needed by the LOB. Those ranges to be removed from global list of connectable offers.</t>
  </si>
  <si>
    <t>Target state to achieve</t>
  </si>
  <si>
    <t>Final SE offers list with connectable products only as the baseline including legacy products (max 10 years).</t>
  </si>
  <si>
    <t xml:space="preserve">Fingerprints per product or product range to be </t>
  </si>
  <si>
    <t>OT Protocols Detection</t>
  </si>
  <si>
    <t>2024 Ambition</t>
  </si>
  <si>
    <t>Actual</t>
  </si>
  <si>
    <t>IA</t>
  </si>
  <si>
    <t>DP</t>
  </si>
  <si>
    <t>DB</t>
  </si>
  <si>
    <t>SP</t>
  </si>
  <si>
    <t>PP</t>
  </si>
  <si>
    <t>H&amp;D</t>
  </si>
  <si>
    <t>Priority</t>
  </si>
  <si>
    <t>Fingerprints available</t>
  </si>
  <si>
    <t xml:space="preserve">Product range </t>
  </si>
  <si>
    <t>Family</t>
  </si>
  <si>
    <t>Type</t>
  </si>
  <si>
    <t xml:space="preserve">EcoStruxure Level </t>
  </si>
  <si>
    <t xml:space="preserve">State </t>
  </si>
  <si>
    <t>Notes</t>
  </si>
  <si>
    <t>Protocols</t>
  </si>
  <si>
    <t>BacNet</t>
  </si>
  <si>
    <t>EIP</t>
  </si>
  <si>
    <t>FTP</t>
  </si>
  <si>
    <t>HTTP/HTTPS</t>
  </si>
  <si>
    <t>KNX</t>
  </si>
  <si>
    <t>mDNS</t>
  </si>
  <si>
    <t>Modbus Series</t>
  </si>
  <si>
    <t>ModbusTCP</t>
  </si>
  <si>
    <t>SNTP</t>
  </si>
  <si>
    <t>SNMP</t>
  </si>
  <si>
    <t>SQL Server</t>
  </si>
  <si>
    <t>Telnet</t>
  </si>
  <si>
    <t>DNP3</t>
  </si>
  <si>
    <t>Web</t>
  </si>
  <si>
    <t>SMTP</t>
  </si>
  <si>
    <t>SFTP</t>
  </si>
  <si>
    <t>3,4G</t>
  </si>
  <si>
    <t>Wifi , IPV4,6</t>
  </si>
  <si>
    <t>IEC 60870-5-103/104/101</t>
  </si>
  <si>
    <t>IEC 61850</t>
  </si>
  <si>
    <t>Zigbee</t>
  </si>
  <si>
    <t>Other</t>
  </si>
  <si>
    <t>Available at GSL B'lore</t>
  </si>
  <si>
    <t>High</t>
  </si>
  <si>
    <t>Yes</t>
  </si>
  <si>
    <t>No</t>
  </si>
  <si>
    <t>Advantys OTB</t>
  </si>
  <si>
    <t>PLC, PAC and dedicated controllers</t>
  </si>
  <si>
    <t xml:space="preserve">Process automation </t>
  </si>
  <si>
    <t>HW</t>
  </si>
  <si>
    <t>Edge Control</t>
  </si>
  <si>
    <t>No information</t>
  </si>
  <si>
    <t>Modbus Serie, Modbus TCP</t>
  </si>
  <si>
    <t>Y</t>
  </si>
  <si>
    <t>Advantys STB</t>
  </si>
  <si>
    <t>Commercialized</t>
  </si>
  <si>
    <t>Low</t>
  </si>
  <si>
    <t>ATS22</t>
  </si>
  <si>
    <t>Variable speed drives</t>
  </si>
  <si>
    <t>Industrial control and drives</t>
  </si>
  <si>
    <t>Connected product</t>
  </si>
  <si>
    <t>ATS48</t>
  </si>
  <si>
    <t xml:space="preserve">End of commercialisation </t>
  </si>
  <si>
    <t>ATS480</t>
  </si>
  <si>
    <t>ATV 212</t>
  </si>
  <si>
    <t>Bacnet, Modbus TCP</t>
  </si>
  <si>
    <t>ATV 212 (HVAC)</t>
  </si>
  <si>
    <t>Edge control</t>
  </si>
  <si>
    <t>ATV 680 AFE</t>
  </si>
  <si>
    <t>Modbus TCP</t>
  </si>
  <si>
    <t>Y?</t>
  </si>
  <si>
    <t>ATV AFE</t>
  </si>
  <si>
    <t xml:space="preserve">ATV12 </t>
  </si>
  <si>
    <t>ATV21</t>
  </si>
  <si>
    <t>Bacnet, Modbus Serie?</t>
  </si>
  <si>
    <t>ATV31</t>
  </si>
  <si>
    <t>ATV312</t>
  </si>
  <si>
    <t xml:space="preserve">ATV32 </t>
  </si>
  <si>
    <t>ATV320</t>
  </si>
  <si>
    <t>Modbus Serie, Modbus TCP, FTP</t>
  </si>
  <si>
    <t>ATV340</t>
  </si>
  <si>
    <t>ATV600</t>
  </si>
  <si>
    <t>ATV6000</t>
  </si>
  <si>
    <t>ATV61</t>
  </si>
  <si>
    <t>ATV630</t>
  </si>
  <si>
    <t>ATV660</t>
  </si>
  <si>
    <t>ATV680</t>
  </si>
  <si>
    <t>ATV71</t>
  </si>
  <si>
    <t>ATV900</t>
  </si>
  <si>
    <t>ATV930</t>
  </si>
  <si>
    <t>Medium</t>
  </si>
  <si>
    <t>ClearSCADA , GeoSCADA</t>
  </si>
  <si>
    <t>Telemetry and remote SCADA</t>
  </si>
  <si>
    <t>SW</t>
  </si>
  <si>
    <t>Programming software</t>
  </si>
  <si>
    <t>Software</t>
  </si>
  <si>
    <t xml:space="preserve">EcoStruxure Architecture Builder </t>
  </si>
  <si>
    <t>Industrial Automation Software</t>
  </si>
  <si>
    <t>EcoStruxure Augmented Operator Advisor</t>
  </si>
  <si>
    <t>Analytics</t>
  </si>
  <si>
    <t xml:space="preserve">EcoStruxure Automation Expert </t>
  </si>
  <si>
    <t xml:space="preserve">EcoStruxure Autonomous Production Advisor </t>
  </si>
  <si>
    <t>Process control and safety</t>
  </si>
  <si>
    <t>EcoStruxure Clean-in-Place Advisor</t>
  </si>
  <si>
    <t>Digital Services</t>
  </si>
  <si>
    <t xml:space="preserve">EcoStruxure Compressor Performance Monitor </t>
  </si>
  <si>
    <t>EcoStruxure Control Advisor ,Demo</t>
  </si>
  <si>
    <t xml:space="preserve">EcoStruxure Control Engineering </t>
  </si>
  <si>
    <t xml:space="preserve">PLC,PAC and Controllers </t>
  </si>
  <si>
    <t xml:space="preserve">EcoStruxure Control Expert </t>
  </si>
  <si>
    <t xml:space="preserve">EcoStruxure Field Device Expert </t>
  </si>
  <si>
    <t>EcoStruxure Foxboro DCS</t>
  </si>
  <si>
    <t xml:space="preserve">EcoStruxure Machine Advisor </t>
  </si>
  <si>
    <t xml:space="preserve">EcoStruxure Machine Expert </t>
  </si>
  <si>
    <t xml:space="preserve">EcoStruxure Machine Expert Twin </t>
  </si>
  <si>
    <t xml:space="preserve">EcoStruxure Machine SCADA Expert </t>
  </si>
  <si>
    <t>EcoStruxure Maintenance Advisor Software</t>
  </si>
  <si>
    <t xml:space="preserve">EcoStruxure Manufacturing Compliance Advisor </t>
  </si>
  <si>
    <t>Industrial Automation and control</t>
  </si>
  <si>
    <t xml:space="preserve">Offer found on SE website </t>
  </si>
  <si>
    <t xml:space="preserve">EcoStruxure OPC UA Server Expert </t>
  </si>
  <si>
    <t xml:space="preserve">EcoStruxure Operator Terminal Expert </t>
  </si>
  <si>
    <t>EcoStruxure Plant Advisor</t>
  </si>
  <si>
    <t xml:space="preserve">EcoStruxure Plant Performance Advisor </t>
  </si>
  <si>
    <t>EcoStruxure Power and Process</t>
  </si>
  <si>
    <t xml:space="preserve">EcoStruxure Power Automation System </t>
  </si>
  <si>
    <t>Software (Use IEC61850)</t>
  </si>
  <si>
    <t xml:space="preserve">EcoStruxure Power SCADA Operation </t>
  </si>
  <si>
    <t xml:space="preserve">EcoStruxure Process Advisor - Process Intelligence </t>
  </si>
  <si>
    <t xml:space="preserve">EcoStruxure Process Expert </t>
  </si>
  <si>
    <t>EcoStruxure Process Expert for AVEVA System Platform</t>
  </si>
  <si>
    <t xml:space="preserve">EcoStruxure Process Safety Advisor </t>
  </si>
  <si>
    <t xml:space="preserve">EcoStruxure Pumping Performance Advisor </t>
  </si>
  <si>
    <t>EcoStruxure Secure Connect Advisor</t>
  </si>
  <si>
    <t xml:space="preserve">EcoStruxure System Advisor for Process Control </t>
  </si>
  <si>
    <t xml:space="preserve">EcoStruxure System Advisor for Process Safety </t>
  </si>
  <si>
    <t xml:space="preserve">EcoStruxure TMC Predictive Analytics </t>
  </si>
  <si>
    <t>EcoStruxure Traceability Advisor</t>
  </si>
  <si>
    <t>EcoStruxure Triconex</t>
  </si>
  <si>
    <t xml:space="preserve">EcoStruxure Virtual Engineering </t>
  </si>
  <si>
    <t xml:space="preserve">EcoStruxure Water Advisor </t>
  </si>
  <si>
    <t xml:space="preserve">Industrial Automation and Control </t>
  </si>
  <si>
    <t xml:space="preserve">Commercialized </t>
  </si>
  <si>
    <t>EcoStruxure Data Logger 4G LTE Remote Monitoring</t>
  </si>
  <si>
    <t>Measurement and instrumentation</t>
  </si>
  <si>
    <t xml:space="preserve">EcoStruxure Process Instrumentation </t>
  </si>
  <si>
    <t xml:space="preserve"> </t>
  </si>
  <si>
    <t>EIP, Modbus Serie, Modbus TCP, Web, 3/4G</t>
  </si>
  <si>
    <t>y</t>
  </si>
  <si>
    <t xml:space="preserve">Enhanced Diagnostic Expert </t>
  </si>
  <si>
    <t xml:space="preserve">Digital Factory </t>
  </si>
  <si>
    <t>FactoryCast Gateway</t>
  </si>
  <si>
    <t>Industrial Communications Devices</t>
  </si>
  <si>
    <t xml:space="preserve">FactoryCast HMI </t>
  </si>
  <si>
    <t xml:space="preserve">Foxboro Flow Meters </t>
  </si>
  <si>
    <t xml:space="preserve">foxboro Pressure Transmitters </t>
  </si>
  <si>
    <t xml:space="preserve">Foxboro SCADA RTU </t>
  </si>
  <si>
    <t xml:space="preserve">Ethernet </t>
  </si>
  <si>
    <t xml:space="preserve">Harmony BX1 </t>
  </si>
  <si>
    <t>HMI (Terminals and Industrial PC)</t>
  </si>
  <si>
    <t>Harmony FP6</t>
  </si>
  <si>
    <t>Harmony GK</t>
  </si>
  <si>
    <t>Harmony GTO</t>
  </si>
  <si>
    <t>Harmony GTU , Magelis GTU</t>
  </si>
  <si>
    <t>Harmony GTUX</t>
  </si>
  <si>
    <t>Harmony Hub</t>
  </si>
  <si>
    <t>Pushbuttons, Switches, Pilot Lights, Control Stations and Joysticks</t>
  </si>
  <si>
    <t>Harmony iPC</t>
  </si>
  <si>
    <t>Not sure on protocol</t>
  </si>
  <si>
    <t>Harmony P6</t>
  </si>
  <si>
    <t>Harmony SCU</t>
  </si>
  <si>
    <t>Harmony ST6</t>
  </si>
  <si>
    <t>Harmony STO &amp; STU</t>
  </si>
  <si>
    <t>Lexium 28</t>
  </si>
  <si>
    <t xml:space="preserve">Motion Control and Robotics </t>
  </si>
  <si>
    <t xml:space="preserve">Lexium 32 </t>
  </si>
  <si>
    <t xml:space="preserve">Lexium Cobot </t>
  </si>
  <si>
    <t>Magelis XBT GT ,GC</t>
  </si>
  <si>
    <t>Human Machine Interfaces (HMI)</t>
  </si>
  <si>
    <t xml:space="preserve">Model 6 iMCC </t>
  </si>
  <si>
    <t xml:space="preserve">Motor Control Centers </t>
  </si>
  <si>
    <t>Modicon ATV dPAC</t>
  </si>
  <si>
    <t>Modicon ETB</t>
  </si>
  <si>
    <t xml:space="preserve">Modicon FactoryCast Gateway </t>
  </si>
  <si>
    <t xml:space="preserve">HW </t>
  </si>
  <si>
    <t xml:space="preserve">Modicon FactoryCast Web Server </t>
  </si>
  <si>
    <t>Modicon M100</t>
  </si>
  <si>
    <t xml:space="preserve">Y </t>
  </si>
  <si>
    <t>Modicon M168</t>
  </si>
  <si>
    <t>Modicon M171</t>
  </si>
  <si>
    <t>Modicon M172</t>
  </si>
  <si>
    <t>Modicon M173</t>
  </si>
  <si>
    <t>Modicon M200</t>
  </si>
  <si>
    <t>Modicon M218</t>
  </si>
  <si>
    <t>Modicon M221</t>
  </si>
  <si>
    <t>Modicon M238</t>
  </si>
  <si>
    <t>To be discontinued</t>
  </si>
  <si>
    <t>Modicon M241</t>
  </si>
  <si>
    <t>Modicon M251</t>
  </si>
  <si>
    <t>Modicon M251 dPAC</t>
  </si>
  <si>
    <t>Modicon M258</t>
  </si>
  <si>
    <t>Modicon M262 dPAC</t>
  </si>
  <si>
    <t>Modicon M262</t>
  </si>
  <si>
    <t>Modicon M340</t>
  </si>
  <si>
    <t>Modicon M580</t>
  </si>
  <si>
    <t>Modicon M580 dPAC</t>
  </si>
  <si>
    <t>Modicon MC80</t>
  </si>
  <si>
    <t>Modicon MCM</t>
  </si>
  <si>
    <t>Modicon momentum</t>
  </si>
  <si>
    <t xml:space="preserve">Modicon Networking </t>
  </si>
  <si>
    <t>Modicon PacDrive 3 LMC Pro , LMC Eco</t>
  </si>
  <si>
    <t>Modicon Premium</t>
  </si>
  <si>
    <t>Modicon TM3</t>
  </si>
  <si>
    <t>Modicon TM5</t>
  </si>
  <si>
    <t>Modicon X80</t>
  </si>
  <si>
    <t>PL7</t>
  </si>
  <si>
    <t>PowerLogic SAGE RTU</t>
  </si>
  <si>
    <t>Plant IT (ProLeiT)</t>
  </si>
  <si>
    <t>Quantum (Modicon)</t>
  </si>
  <si>
    <t>Realift</t>
  </si>
  <si>
    <t xml:space="preserve">Safety Validator </t>
  </si>
  <si>
    <t>SCADAPack 100</t>
  </si>
  <si>
    <t>SCADAPack 300</t>
  </si>
  <si>
    <t>SCADAPack 32</t>
  </si>
  <si>
    <t>SCADAPack 47x , 47xi</t>
  </si>
  <si>
    <t>SCADAPack 50</t>
  </si>
  <si>
    <t>SCADAPack 500E ,300E</t>
  </si>
  <si>
    <t>SCADAPack 57x</t>
  </si>
  <si>
    <t xml:space="preserve">SCADAPack E Workbench </t>
  </si>
  <si>
    <t>SCADAPack Workbench</t>
  </si>
  <si>
    <t>Trio J series</t>
  </si>
  <si>
    <t xml:space="preserve">Trio K series </t>
  </si>
  <si>
    <t>Trio Q series</t>
  </si>
  <si>
    <t>TriStation TS1131</t>
  </si>
  <si>
    <t>Twido</t>
  </si>
  <si>
    <t xml:space="preserve">TwidoSuite </t>
  </si>
  <si>
    <t xml:space="preserve">no information </t>
  </si>
  <si>
    <t>W@de RTU</t>
  </si>
  <si>
    <t>ZelioLogic</t>
  </si>
  <si>
    <t>Easy Harmony GXU</t>
  </si>
  <si>
    <t>ETG100</t>
  </si>
  <si>
    <t>Modicon STB</t>
  </si>
  <si>
    <t>Motion Controllers</t>
  </si>
  <si>
    <t>Operations Management Software</t>
  </si>
  <si>
    <t>Remote SCADA Software</t>
  </si>
  <si>
    <t>SCADAPack</t>
  </si>
  <si>
    <t>Modicon Micro</t>
  </si>
  <si>
    <t>Harmony ET6</t>
  </si>
  <si>
    <t>ProWORX</t>
  </si>
  <si>
    <t>Programming software only use for legacy products</t>
  </si>
  <si>
    <t>Industrial IoT apps and analytics</t>
  </si>
  <si>
    <t>Process Control</t>
  </si>
  <si>
    <t>Product range</t>
  </si>
  <si>
    <t>State</t>
  </si>
  <si>
    <t>Bluetooth</t>
  </si>
  <si>
    <t>No</t>
    <phoneticPr fontId="2" type="noConversion"/>
  </si>
  <si>
    <t>A9MEM2050, A9MEM2055, A9MEM2435, A9MEM2455 (Brand Label)</t>
    <phoneticPr fontId="2" type="noConversion"/>
  </si>
  <si>
    <t xml:space="preserve">Basic Metering </t>
    <phoneticPr fontId="2" type="noConversion"/>
  </si>
  <si>
    <t>Digital Power</t>
    <phoneticPr fontId="2" type="noConversion"/>
  </si>
  <si>
    <t>Energy Management</t>
    <phoneticPr fontId="2" type="noConversion"/>
  </si>
  <si>
    <t>HW</t>
    <phoneticPr fontId="2" type="noConversion"/>
  </si>
  <si>
    <t>Connected Product</t>
    <phoneticPr fontId="2" type="noConversion"/>
  </si>
  <si>
    <t>Commercialized</t>
    <phoneticPr fontId="2" type="noConversion"/>
  </si>
  <si>
    <t>Add from Product Portfolio RA</t>
    <phoneticPr fontId="2" type="noConversion"/>
  </si>
  <si>
    <t>Advanced Metering Platform</t>
  </si>
  <si>
    <t>Advanced Metering</t>
  </si>
  <si>
    <t>Connected Product</t>
  </si>
  <si>
    <t>Aurtra</t>
    <phoneticPr fontId="29" type="noConversion"/>
  </si>
  <si>
    <t>Advisors &amp; Apps</t>
    <phoneticPr fontId="2" type="noConversion"/>
  </si>
  <si>
    <t>EcoStruxure Power</t>
    <phoneticPr fontId="2" type="noConversion"/>
  </si>
  <si>
    <t>SW</t>
    <phoneticPr fontId="2" type="noConversion"/>
  </si>
  <si>
    <t>Edge control</t>
    <phoneticPr fontId="2" type="noConversion"/>
  </si>
  <si>
    <t>Add from Product Portfolio ESXP LoB</t>
    <phoneticPr fontId="2" type="noConversion"/>
  </si>
  <si>
    <t>BCPME</t>
  </si>
  <si>
    <t>BESS ANSI</t>
  </si>
  <si>
    <t>Energy Storage</t>
    <phoneticPr fontId="2" type="noConversion"/>
  </si>
  <si>
    <t>Micro Grid</t>
    <phoneticPr fontId="2" type="noConversion"/>
  </si>
  <si>
    <t>Add from Product Portfolio MG LoB</t>
    <phoneticPr fontId="2" type="noConversion"/>
  </si>
  <si>
    <t>C264</t>
    <phoneticPr fontId="2" type="noConversion"/>
  </si>
  <si>
    <t>Power Management System</t>
    <phoneticPr fontId="2" type="noConversion"/>
  </si>
  <si>
    <t>Add from Product Portfolio FS</t>
    <phoneticPr fontId="2" type="noConversion"/>
  </si>
  <si>
    <t>C5</t>
    <phoneticPr fontId="2" type="noConversion"/>
  </si>
  <si>
    <t>CAE</t>
    <phoneticPr fontId="2" type="noConversion"/>
  </si>
  <si>
    <t>CAP</t>
  </si>
  <si>
    <t>Power Mgt Systems</t>
    <phoneticPr fontId="2" type="noConversion"/>
  </si>
  <si>
    <t>Add from Product Portfolio DP LoB (Laura)</t>
    <phoneticPr fontId="2" type="noConversion"/>
  </si>
  <si>
    <t>Classic EEH Web Team</t>
  </si>
  <si>
    <t xml:space="preserve">Cloud Commissioning </t>
  </si>
  <si>
    <t>Com'x(No regulatory work)</t>
  </si>
  <si>
    <t>Panel Server</t>
    <phoneticPr fontId="2" type="noConversion"/>
  </si>
  <si>
    <t xml:space="preserve">End of commercialisation </t>
    <phoneticPr fontId="2" type="noConversion"/>
  </si>
  <si>
    <t xml:space="preserve">Conductor MDM </t>
  </si>
  <si>
    <t>Medium Voltage Distribution and Grid Automation</t>
  </si>
  <si>
    <t xml:space="preserve">Edge control , Analytics </t>
  </si>
  <si>
    <t>Connectivity as a Service</t>
  </si>
  <si>
    <t>Curling Head Unit (system)</t>
    <phoneticPr fontId="29" type="noConversion"/>
  </si>
  <si>
    <t>Curling Head Unit configurator</t>
  </si>
  <si>
    <t>Curling Head Unit Hypervisor</t>
  </si>
  <si>
    <t>Curling Head Unit Virtualized P7</t>
  </si>
  <si>
    <t>Data as a Service</t>
  </si>
  <si>
    <t>DIN RS485 600V ( Serial)</t>
    <phoneticPr fontId="2" type="noConversion"/>
  </si>
  <si>
    <t xml:space="preserve">DINEthernet SE EM3570,EM3570A,EM3570X,EM3570AX </t>
    <phoneticPr fontId="2" type="noConversion"/>
  </si>
  <si>
    <t xml:space="preserve">DINethernet Varis E71E3 ,E71E3A,E71E3X
E71E3AX </t>
    <phoneticPr fontId="2" type="noConversion"/>
  </si>
  <si>
    <t>DSA (Digital Service Admin) - Transfer from SD</t>
  </si>
  <si>
    <t>DVR (Brand Label)</t>
  </si>
  <si>
    <t xml:space="preserve">Power Quality and Power Factor Correction </t>
    <phoneticPr fontId="2" type="noConversion"/>
  </si>
  <si>
    <t>Easergy Builder</t>
  </si>
  <si>
    <t>Protection and Control</t>
    <phoneticPr fontId="2" type="noConversion"/>
  </si>
  <si>
    <t>HTTPS</t>
  </si>
  <si>
    <t>Easergy Flair</t>
  </si>
  <si>
    <t>Modbus Serie</t>
  </si>
  <si>
    <t>Easergy Flair 200</t>
  </si>
  <si>
    <t>Modbus Serie, Modbus TCP, DNP3, SMTP, 3,4G</t>
  </si>
  <si>
    <t xml:space="preserve">Easergy Flite 116 </t>
  </si>
  <si>
    <t xml:space="preserve">Modbus Serie, Modbus TCP, DNP3 </t>
  </si>
  <si>
    <t>Easergy G200</t>
  </si>
  <si>
    <t>Modbus Serie, DNP3</t>
  </si>
  <si>
    <t>Easergy MiCOM C434</t>
  </si>
  <si>
    <t xml:space="preserve">Protection relays </t>
  </si>
  <si>
    <t>IEC 60870-5-104,  IEC 61850, SNTP, SSH, PTP, SNMP, Modbus Serie</t>
    <phoneticPr fontId="2" type="noConversion"/>
  </si>
  <si>
    <t>Y</t>
    <phoneticPr fontId="2" type="noConversion"/>
  </si>
  <si>
    <t>SSH</t>
    <phoneticPr fontId="2" type="noConversion"/>
  </si>
  <si>
    <t>Easergy MiCOM Px10</t>
  </si>
  <si>
    <t>Connected product</t>
    <phoneticPr fontId="2" type="noConversion"/>
  </si>
  <si>
    <t>Non-routable product</t>
    <phoneticPr fontId="2" type="noConversion"/>
  </si>
  <si>
    <t>Modbus RTU,IEC 60870-5-103, DNP</t>
    <phoneticPr fontId="2" type="noConversion"/>
  </si>
  <si>
    <t>Easergy MiCOM Px20</t>
  </si>
  <si>
    <t>Easergy MiCOM Px30</t>
  </si>
  <si>
    <t>Easergy MiCOM Px40</t>
  </si>
  <si>
    <t>Modbus TCP, Modbus Serie,IEC 60870-5-103, DNP3,  IEC 61850, SNTP</t>
    <phoneticPr fontId="2" type="noConversion"/>
  </si>
  <si>
    <t>Easergy P1</t>
  </si>
  <si>
    <t>To be Discontinued</t>
  </si>
  <si>
    <t>Modbus Serie, IEC 103</t>
  </si>
  <si>
    <t>IEC 103</t>
  </si>
  <si>
    <t>Easergy P3</t>
  </si>
  <si>
    <t>EIP, Modbus Serie, Modbus TCP, EIP, SNTP, FTP, HTTP, Telnet, DNP3, IEC60870-5-103&amp;101, IEC61850</t>
    <phoneticPr fontId="2" type="noConversion"/>
  </si>
  <si>
    <t>Easergy P5</t>
  </si>
  <si>
    <t>EIP, Modbus Serie, Modbus TCP, SNTP, PTP, DNP3, IEC60870-5-103&amp;101, IEC61850, SSH, SFTP, HTTPS</t>
    <phoneticPr fontId="2" type="noConversion"/>
  </si>
  <si>
    <t>Easergy P7</t>
  </si>
  <si>
    <t>Modbus Serie, Modbus TCP, SNTP, HTTPS, SFTP, SNMP, DNP3, IEC60870-5-103, IEC61850, IEC61869-9, PTP</t>
    <phoneticPr fontId="2" type="noConversion"/>
  </si>
  <si>
    <t>Easergy Pro</t>
  </si>
  <si>
    <t>Easergy PS 100</t>
  </si>
  <si>
    <t>Easergy Studio</t>
  </si>
  <si>
    <t>Easergy T200,T200I</t>
  </si>
  <si>
    <t>Modbus Serie , Modbus TCP, http</t>
  </si>
  <si>
    <t xml:space="preserve">EasyLogic AccuSine PCSU </t>
  </si>
  <si>
    <t>EasyLogic DM2000</t>
  </si>
  <si>
    <t>Low voltage power distribution products and equipment</t>
  </si>
  <si>
    <t>Modbus Serie, Modbus TCP?</t>
  </si>
  <si>
    <t>Y ?</t>
  </si>
  <si>
    <t>EasyLogic PM1100</t>
  </si>
  <si>
    <t>Power Monitoring and Energy Monitoring Systems</t>
  </si>
  <si>
    <t>EasyLogic PM2000</t>
  </si>
  <si>
    <t>Power Metering and Energy Monitoring Systems</t>
  </si>
  <si>
    <t>EcoStrucxure Power Operation (EPO)</t>
  </si>
  <si>
    <t>Add from Product Portfolio DP LoB (Laura)
Power SCADA Expert (PSE), PowerSCADA Operation (PSO), Powerlogic SCADA (PLS)</t>
    <phoneticPr fontId="2" type="noConversion"/>
  </si>
  <si>
    <t xml:space="preserve">EcoStruxure Asset &amp; Power Advisor </t>
  </si>
  <si>
    <t>Critical Power Cooling and Racks</t>
  </si>
  <si>
    <t>Should be just Asset advisor (power advisor already listed)</t>
  </si>
  <si>
    <t xml:space="preserve">EcoStruxure Energy Profiler Online </t>
  </si>
  <si>
    <t>I think think is Buildings based on https://schneiderelectric.sharepoint.com/sites/BuildingSegmentsSolutionArchitectureGroup/_layouts/15/viewer.aspx?sourcedoc={32a0a312-27b4-4287-ac3a-2be6ff6468ad}</t>
  </si>
  <si>
    <t>EcoStruxure Microgrid Advisor v4 (EMA)</t>
  </si>
  <si>
    <t>Software &amp; Control</t>
    <phoneticPr fontId="2" type="noConversion"/>
  </si>
  <si>
    <t>Analytics</t>
    <phoneticPr fontId="2" type="noConversion"/>
  </si>
  <si>
    <t>EcoStruxure Microgrid Advisor v5 (EMA)</t>
  </si>
  <si>
    <t>EcoStruxure Microgrid Build (EMB)</t>
  </si>
  <si>
    <t>EcoStruxure Microgrid Controller</t>
  </si>
  <si>
    <t>EcoStruxure Microgrid Maintaince (EMM)</t>
  </si>
  <si>
    <t>EcoStruxure Microgrid Operation (EMO-M)</t>
  </si>
  <si>
    <t xml:space="preserve">EcoStruxure Power Build Rapsody </t>
  </si>
  <si>
    <t xml:space="preserve">Low voltage products and systems </t>
  </si>
  <si>
    <t xml:space="preserve">EcoStruxure Power Commission </t>
  </si>
  <si>
    <t>EcoStruxure Power</t>
  </si>
  <si>
    <t xml:space="preserve">SW </t>
  </si>
  <si>
    <t>EcoStruxure Power Commission Mobile</t>
    <phoneticPr fontId="2" type="noConversion"/>
  </si>
  <si>
    <t>Comm &amp; Device Integration</t>
    <phoneticPr fontId="2" type="noConversion"/>
  </si>
  <si>
    <t>EcoStruxure Power Operation</t>
  </si>
  <si>
    <t xml:space="preserve">EcoStruxure Site Server </t>
  </si>
  <si>
    <t>EIP?, Modbus Serie, Modbus TCP, Web?, 3,4G, HTTP</t>
  </si>
  <si>
    <t xml:space="preserve">EcoStruxure Transformer Expert </t>
  </si>
  <si>
    <t xml:space="preserve">Edge control </t>
  </si>
  <si>
    <t xml:space="preserve">EcoStruxure XR Operator Advisor </t>
  </si>
  <si>
    <t>EcoStruxureEnergy Hub</t>
  </si>
  <si>
    <t xml:space="preserve">Power metering and energy monitoring systems </t>
  </si>
  <si>
    <t xml:space="preserve">Also in the Family: Low voltage products and systems </t>
  </si>
  <si>
    <t>EcoStruxureFacility Expert</t>
  </si>
  <si>
    <t>EcoStruxureFDM128</t>
  </si>
  <si>
    <t>EIP?, Modbus Serie, Modbus TCP</t>
  </si>
  <si>
    <t>EcoStruxurePanel Server (PAS)</t>
  </si>
  <si>
    <t xml:space="preserve">Edge Control </t>
  </si>
  <si>
    <t>Model ; 400, 500, 600(-,L,P), 700, 800(-,L,P,T,LWD)</t>
  </si>
  <si>
    <t xml:space="preserve">Modbus TCP, HTTPS, IPV4,6, Modbus RTU, EIP, 3,4G, </t>
  </si>
  <si>
    <t xml:space="preserve">EcoStruxurePanel Server webpages </t>
  </si>
  <si>
    <t>Is this just panel server?  why "webpages"</t>
  </si>
  <si>
    <t>EcoStruxurePower Advisor</t>
  </si>
  <si>
    <t>EcoStruxurePower Automation System</t>
  </si>
  <si>
    <t>EcoStruxurePower Management Software</t>
  </si>
  <si>
    <t>Power Management Software</t>
  </si>
  <si>
    <t>EcoStruxurePower Monitoring Expert (PME)</t>
  </si>
  <si>
    <t xml:space="preserve">EcoStruxurePower SCADA Expert  </t>
  </si>
  <si>
    <t>Combine with line above EPO</t>
  </si>
  <si>
    <t>EcoStruxureSite Server</t>
  </si>
  <si>
    <t>Modbus RTU, Modbus TCP and 4G</t>
  </si>
  <si>
    <t>EEH Classic(Harish)</t>
  </si>
  <si>
    <t>EEH Team 8 (EEH -Mobile Team)</t>
  </si>
  <si>
    <t>EM6438</t>
  </si>
  <si>
    <t xml:space="preserve">Energy Management </t>
  </si>
  <si>
    <t>Is this india offer only?  Part of EM6400NG ranage https://www.se.com/in/en/product-range/63369-em6400ng+/?parent-subcategory-id=82264&amp;filter=business-4-low-voltage-products-and-systems#products</t>
  </si>
  <si>
    <t>EMO-L</t>
  </si>
  <si>
    <t>EMS Controller</t>
  </si>
  <si>
    <t>EMS Interface HMI</t>
  </si>
  <si>
    <t>EMS Studio (configurator)</t>
  </si>
  <si>
    <t>EMS System ( Controller, interface )</t>
  </si>
  <si>
    <t>Energy meters (Square D)</t>
  </si>
  <si>
    <t>Enerlin'X Com'X 200,210,510</t>
  </si>
  <si>
    <t>FTP, KNX, Modbus Serie, Modbus TCP, Web, Wifi IPV4,6, Zigbee</t>
  </si>
  <si>
    <t>Enerlin'X iRIO</t>
  </si>
  <si>
    <t>FTP, mDNS, Modbus Serie, Modbus TCP, Zigbee</t>
  </si>
  <si>
    <t>EPAS Gateway  Linux</t>
    <phoneticPr fontId="29" type="noConversion"/>
  </si>
  <si>
    <t>EPAS Gateway addons" (EMO,GMS..)</t>
  </si>
  <si>
    <t>EPAS Gateway Windows</t>
  </si>
  <si>
    <t>EPAS System</t>
    <phoneticPr fontId="29" type="noConversion"/>
  </si>
  <si>
    <t>EPAS-E</t>
  </si>
  <si>
    <t>EPASUI EcoSUI</t>
  </si>
  <si>
    <t>EPASUI WebHMI</t>
  </si>
  <si>
    <t>EPB-SC (Ecostruxure Power and Buildings Software Companion) ( Formerly Sales Portal)</t>
  </si>
  <si>
    <t>EPC-Web</t>
  </si>
  <si>
    <t>ESM</t>
  </si>
  <si>
    <t>ESP-209 EEH to PaS (Web and Mobile)</t>
  </si>
  <si>
    <t>ESXP Advisor convergence</t>
    <phoneticPr fontId="2" type="noConversion"/>
  </si>
  <si>
    <t>ESXP Energy &amp; Chemicals (Oil &amp; Gas)</t>
  </si>
  <si>
    <t>System</t>
    <phoneticPr fontId="2" type="noConversion"/>
  </si>
  <si>
    <t>EV Charging Management Systems</t>
  </si>
  <si>
    <t xml:space="preserve">FLEX ANSI </t>
  </si>
  <si>
    <t>FLEX IEC</t>
  </si>
  <si>
    <t>HDPM</t>
  </si>
  <si>
    <t>HMI Studio (configurator of EPASUI WebHMI)</t>
    <phoneticPr fontId="2" type="noConversion"/>
  </si>
  <si>
    <t>IEC PCU(Discontinue before 2027)</t>
  </si>
  <si>
    <t>IFL Mobile Kit</t>
    <phoneticPr fontId="29" type="noConversion"/>
  </si>
  <si>
    <t>iFLS</t>
    <phoneticPr fontId="2" type="noConversion"/>
  </si>
  <si>
    <t>IM10/20 ( Serial)</t>
  </si>
  <si>
    <t>IM400( Serial)</t>
  </si>
  <si>
    <t>ION Setup</t>
  </si>
  <si>
    <t>Add from Product Portfolio DP LoB (Laura) 
Replaced by PLES</t>
    <phoneticPr fontId="2" type="noConversion"/>
  </si>
  <si>
    <t>KPI Monitor (companion of EPASUI WebHMI)</t>
    <phoneticPr fontId="2" type="noConversion"/>
  </si>
  <si>
    <t>Link150</t>
  </si>
  <si>
    <t>Medium Refresh ( Ethernet +Non ethernet)</t>
  </si>
  <si>
    <t>Microgrid Assessment Cloud (MGA-C)</t>
  </si>
  <si>
    <t>Microgrid Assessment Standalone (MGA-S)</t>
  </si>
  <si>
    <t>Mission Critical Solution</t>
  </si>
  <si>
    <t>NeXT</t>
  </si>
  <si>
    <t>Next Gen</t>
  </si>
  <si>
    <t>Next Gen Advisor platform (Harish)</t>
  </si>
  <si>
    <t>P7s</t>
    <phoneticPr fontId="2" type="noConversion"/>
  </si>
  <si>
    <t>PM1130</t>
  </si>
  <si>
    <t>EasyLogic PM1130H dual source meters - should be buildings?</t>
  </si>
  <si>
    <t>PM1200</t>
  </si>
  <si>
    <t>Pretty sure this is easylogic range so buildings</t>
  </si>
  <si>
    <t>PM2000</t>
  </si>
  <si>
    <t>PM53XX</t>
    <phoneticPr fontId="29" type="noConversion"/>
  </si>
  <si>
    <t>PM55XX</t>
  </si>
  <si>
    <t>PM55XX ( IPV6) Release</t>
  </si>
  <si>
    <t>PM700</t>
  </si>
  <si>
    <t>PM700 and PM800 (not listed) series long since end of life - do you want them in your list?</t>
  </si>
  <si>
    <t>Power Logic Intrutive ( BB1.1)</t>
  </si>
  <si>
    <t>PowerLink MVP</t>
  </si>
  <si>
    <t>Bacnet, Modbus Serie, Modbus TCP</t>
  </si>
  <si>
    <t>PowerLogic Accusine EVC+</t>
  </si>
  <si>
    <t xml:space="preserve">Power Quality and Power Factor Correction </t>
  </si>
  <si>
    <t>PowerLogic AccuSine PCS+</t>
  </si>
  <si>
    <t>PowerLogic AccuSine PCSn</t>
  </si>
  <si>
    <t xml:space="preserve">PowerLogic Accusine PVF+ </t>
    <phoneticPr fontId="2" type="noConversion"/>
  </si>
  <si>
    <t xml:space="preserve">Energy quality </t>
  </si>
  <si>
    <t>PowerLogic BCPM</t>
  </si>
  <si>
    <t>EIP, Modbus Serien Modbus TCP, SNMP</t>
    <phoneticPr fontId="2" type="noConversion"/>
  </si>
  <si>
    <t>PowerLogic CM3000</t>
  </si>
  <si>
    <t>PowerLogic CM4000 , CM4000T</t>
  </si>
  <si>
    <t>HTTP/HTTPS, Modbus Serie, Modbus TCP</t>
  </si>
  <si>
    <t>PowerLogic DM6000H</t>
  </si>
  <si>
    <t>PowerLogic DM6200</t>
  </si>
  <si>
    <t>PowerLogic E5600</t>
  </si>
  <si>
    <t>PowerLogic EGX100</t>
  </si>
  <si>
    <t>FTP, KNX, Modbus Serie, Modbus TCP, SNMP, HTTP</t>
  </si>
  <si>
    <t>PowerLogic EGX150</t>
  </si>
  <si>
    <t>FTP, KNX, Modbus Serie, Modbus TCP, SNMP</t>
  </si>
  <si>
    <t>PowerLogic EGX200</t>
  </si>
  <si>
    <t>PowerLogic EGX300</t>
  </si>
  <si>
    <t>Modbus Serie, Modbus TCP, Web, SNMP</t>
  </si>
  <si>
    <t>PowerLogic EGX400</t>
  </si>
  <si>
    <t>PowerLogic EM1000, EM1200</t>
  </si>
  <si>
    <t>PowerLogic EM3500</t>
  </si>
  <si>
    <t>PowerLogic EM4000</t>
  </si>
  <si>
    <t>Bacnet, FTP, HTTP/HTTPS, Modbus Serie, Modbus TCP, SNTP, Wifi IPV4,6?</t>
  </si>
  <si>
    <t xml:space="preserve">PowerLogic EM4200 </t>
  </si>
  <si>
    <t>Bacnet, Modbus Serie</t>
  </si>
  <si>
    <t>PowerLogic EM4300,WT4200</t>
  </si>
  <si>
    <t>PowerLogic EM4800</t>
  </si>
  <si>
    <t>Bacnet, FTP, HTTP/HTTPS, Modbus TCP, Wifi IPV4,6?</t>
  </si>
  <si>
    <t>PowerLogic EM4900</t>
  </si>
  <si>
    <t xml:space="preserve">Bacnet, Modbus Serie, Modbus TCP, SNMP, </t>
  </si>
  <si>
    <t>PowerLogic EM6400NG+</t>
  </si>
  <si>
    <t>PowerLogic EM7200</t>
  </si>
  <si>
    <t>PowerLogic Enercept</t>
  </si>
  <si>
    <t>PowerLogic Engineering Suite</t>
    <phoneticPr fontId="2" type="noConversion"/>
  </si>
  <si>
    <t>PowerLogic Flair 21D-22D-23D-23DM</t>
  </si>
  <si>
    <t>PowerLogic G3200</t>
  </si>
  <si>
    <t>Power meters and energy monitoring system</t>
  </si>
  <si>
    <t>Modbus Serie, Modbus TCP, IEC61850</t>
  </si>
  <si>
    <t>PowerLogic HDPM6000</t>
  </si>
  <si>
    <t>Bacnet, Modbus Serie, Modbus TCP, SNMP</t>
  </si>
  <si>
    <t>PowerLogic HeatTag</t>
  </si>
  <si>
    <t>PowerLogic ION6200</t>
  </si>
  <si>
    <t>PowerLogic ION7300</t>
  </si>
  <si>
    <t>Modbus Serie, Modbus TPC, DNP3, Web</t>
  </si>
  <si>
    <t>PowerLogic ION7400</t>
  </si>
  <si>
    <t>SFTP, Modbus Serie, Modbus TCP, SNTP, DNP3, IEC61850</t>
  </si>
  <si>
    <t>PowerLogic ION7550 RTU</t>
  </si>
  <si>
    <t>Modbus TCP, Telnet, DNP3</t>
  </si>
  <si>
    <t>PowerLogic ION7550,7650</t>
  </si>
  <si>
    <t>Modbus Serie, Modbus TCP, DNP3, Web, IEC61850</t>
  </si>
  <si>
    <t>PowerLogic ION8650</t>
  </si>
  <si>
    <t>HTTP/HTTPS, Modbus Serie, Modbus TCP, DNP3,, SFTP, Telnet, HTML</t>
  </si>
  <si>
    <t>PowerLogic ION8800</t>
  </si>
  <si>
    <t>Modbus Serie, Modbus TCP, DNP3, Web, SFTP</t>
  </si>
  <si>
    <t>PowerLogic ION9000</t>
  </si>
  <si>
    <t>SFTP, KNX, Modbus Serie, Modbus TCP, SNMP, DNP3, HTTP/HTTPS, SFTP</t>
  </si>
  <si>
    <t>PowerLogic MiCOM C434</t>
  </si>
  <si>
    <t>PowerLogic MiCom Px10</t>
  </si>
  <si>
    <t>Connected product (non-routable product)</t>
    <phoneticPr fontId="2" type="noConversion"/>
  </si>
  <si>
    <t>PowerLogic MiCom Px20</t>
  </si>
  <si>
    <t>PowerLogic MiCom Px30</t>
  </si>
  <si>
    <t>PowerLogic MiCom Px40</t>
  </si>
  <si>
    <t>PowerLogic &amp; Easergy - same, consolidate</t>
  </si>
  <si>
    <t>Modbus TCP, Modbus Serie,IEC 60870-5-103,  IEC 61850, DNP3, SNTP</t>
    <phoneticPr fontId="2" type="noConversion"/>
  </si>
  <si>
    <t>PowerLogic P1</t>
  </si>
  <si>
    <t>Modbus Serie, IEC103</t>
    <phoneticPr fontId="2" type="noConversion"/>
  </si>
  <si>
    <t>PowerLogic P3</t>
  </si>
  <si>
    <t xml:space="preserve">EIP, Modbus Serie, Modbus TCP, EIP, SNTP, FTP, HTTP, Telnet, DNP3, IEC60870-5-103&amp;101&amp;104, IEC61850, </t>
    <phoneticPr fontId="2" type="noConversion"/>
  </si>
  <si>
    <t>PowerLogic P5</t>
  </si>
  <si>
    <t>EIP, Modbus Serie, Modbus TCP, SNTP, PTP, DNP3, IEC60870-5-103&amp;101, IEC61850, SSH, SFTP, HTTPS, Zigbee</t>
    <phoneticPr fontId="2" type="noConversion"/>
  </si>
  <si>
    <t>PowerLogic P7</t>
  </si>
  <si>
    <t>PowerLogic PFC bank</t>
  </si>
  <si>
    <t xml:space="preserve">Modbus Serie </t>
  </si>
  <si>
    <t>PowerLogic PFC controler</t>
  </si>
  <si>
    <t>PowerLogic PM200</t>
  </si>
  <si>
    <t>PM200 went through PWP in July 2017 - last fw was 2020</t>
  </si>
  <si>
    <t>PowerLogic PM3000</t>
  </si>
  <si>
    <t xml:space="preserve">PowerLogic PM5000 </t>
  </si>
  <si>
    <t>Modbus Serie, Modbus TPC, Web, EIP, Bacnet</t>
  </si>
  <si>
    <t>PowerLogic PM800</t>
  </si>
  <si>
    <t>Modbus Serie, Modbus TCP, SNMP, IEC 61850, SFTP, HTTP/HTTPS, SNMP, DNP3, Wifi IPV4,6, IEC 61850</t>
  </si>
  <si>
    <t>PowerLogic PowerTag energy</t>
  </si>
  <si>
    <t xml:space="preserve">PowerLogic PS100 </t>
  </si>
  <si>
    <t>PowerLogic PS50</t>
  </si>
  <si>
    <t xml:space="preserve">PowerLogic Sepam Series 20 </t>
  </si>
  <si>
    <t>EIP?, Modbus Serie, Modbus TCP, DNP3, IEC61850</t>
  </si>
  <si>
    <t>PowerLogic Sepam Series 40</t>
  </si>
  <si>
    <t>Medium Voltage Distribution and Grid Automation</t>
    <phoneticPr fontId="2" type="noConversion"/>
  </si>
  <si>
    <t>EIP?, Modbus Serie, Modbus TCP, DNP3, IEC61851, SNMP</t>
  </si>
  <si>
    <t>PowerLogic Sepam Series 60</t>
  </si>
  <si>
    <t>EIP?, Modbus Serie, Modbus TCP, DNP3, IEC61852, SNMP, SNTP</t>
  </si>
  <si>
    <t>PowerLogic Sepam Series 80</t>
  </si>
  <si>
    <t>PowerLogic T300</t>
  </si>
  <si>
    <t>Modbus Serie, Modbus TCP, DNP3, IEC61850, IEC 60870-5-101,104</t>
  </si>
  <si>
    <t>PowerLogic T500</t>
  </si>
  <si>
    <t>Modbus TCP, SNTP, SNMP, Web, SFTP, DNP3, IEC60870-5-101&amp;103&amp;104, IEC61850</t>
  </si>
  <si>
    <t>PowerLogic Vamp Arc Protection</t>
  </si>
  <si>
    <t>VAMP 321</t>
    <phoneticPr fontId="2" type="noConversion"/>
  </si>
  <si>
    <t>Modbus serie, Modbus TCP, EIP, DNP3, IEC60870-5-101&amp;103&amp;104, IEC61850, FTP, HTTP, SNTP, Telnet</t>
  </si>
  <si>
    <t xml:space="preserve">Y </t>
    <phoneticPr fontId="2" type="noConversion"/>
  </si>
  <si>
    <t xml:space="preserve">PowerLogic Vigilohm </t>
  </si>
  <si>
    <t>Modbus serie</t>
  </si>
  <si>
    <t>PowerLogic, Easergy ThermalTag</t>
  </si>
  <si>
    <t>PowerTag 63</t>
  </si>
  <si>
    <t>PowerTag F160/Rope</t>
  </si>
  <si>
    <t>PowerTag Link</t>
  </si>
  <si>
    <t>Profile Studio</t>
  </si>
  <si>
    <t>Sage RTU</t>
  </si>
  <si>
    <t>Add from Product Portfolio DP LoB</t>
  </si>
  <si>
    <t>Saitel DP</t>
  </si>
  <si>
    <t xml:space="preserve">HTTP/HTTPS, ModbusTCP, SNTP, Web, SFTP, IEC 60870-5-103/104/105, IEC 61850. </t>
  </si>
  <si>
    <t>SAM</t>
    <phoneticPr fontId="2" type="noConversion"/>
  </si>
  <si>
    <t>SCE</t>
  </si>
  <si>
    <t>SE EDGE Agent (Feb 2025)</t>
  </si>
  <si>
    <t>SEMS</t>
  </si>
  <si>
    <t>SEPAM</t>
  </si>
  <si>
    <t>Sepam accessories</t>
  </si>
  <si>
    <t>IEC61850</t>
  </si>
  <si>
    <t>Single port Ethernet ( EM3K)</t>
  </si>
  <si>
    <t>Site Server (PMSL)</t>
  </si>
  <si>
    <t>SLMR</t>
  </si>
  <si>
    <t>SmartComm</t>
  </si>
  <si>
    <t>SmartLink SIB</t>
  </si>
  <si>
    <t>SMTB</t>
    <phoneticPr fontId="2" type="noConversion"/>
  </si>
  <si>
    <t>Saitel DR</t>
  </si>
  <si>
    <t>Add from Product Portfolio DP LoB (Laura) / About to be rebranded</t>
  </si>
  <si>
    <t>T200 (S/I&amp;H/P/E)</t>
  </si>
  <si>
    <t>Varlogic NR</t>
  </si>
  <si>
    <t>Varlogic RT</t>
  </si>
  <si>
    <t>Villaya Flex</t>
  </si>
  <si>
    <t>VIP 40,45</t>
  </si>
  <si>
    <t>Modbus Serie, DNP3, IEC60870-5-103, I985-103&amp;104</t>
  </si>
  <si>
    <t>VIP 400,410,415</t>
  </si>
  <si>
    <t>Modbus Serie, DNP3, IEC60870-I985-103&amp;104, Web, IEC61850</t>
  </si>
  <si>
    <t>In "Product range" column different color means:</t>
    <phoneticPr fontId="2" type="noConversion"/>
  </si>
  <si>
    <t>Offer exists in both "IB Program - Offers List.xlsx" and "Product Portfolio.xlsx"</t>
    <phoneticPr fontId="2" type="noConversion"/>
  </si>
  <si>
    <t>Offer added to "IB Program - Offers List.xlsx" from "Product Portfolio.xlsx"</t>
    <phoneticPr fontId="2" type="noConversion"/>
  </si>
  <si>
    <t>Others are offers exist in "IB Program - Offers List.xlsx" but not exist in "Product Portfolio.xlsx"</t>
    <phoneticPr fontId="2" type="noConversion"/>
  </si>
  <si>
    <t>PM8000</t>
  </si>
  <si>
    <t>duplicate</t>
  </si>
  <si>
    <t>NMC</t>
  </si>
  <si>
    <t>Column1</t>
  </si>
  <si>
    <t xml:space="preserve">EcoStruxuretruxure Level </t>
  </si>
  <si>
    <t>bmm proposal</t>
  </si>
  <si>
    <t>Cooling: ACRC chilled water AFC</t>
  </si>
  <si>
    <t xml:space="preserve">Active flow controller </t>
  </si>
  <si>
    <t xml:space="preserve">IT Racks and Accessories </t>
  </si>
  <si>
    <t xml:space="preserve">Modbus Series </t>
  </si>
  <si>
    <t>home - drop</t>
  </si>
  <si>
    <t>Back UPS SX3</t>
  </si>
  <si>
    <t>Uninterruptible Power Supply (UPS)</t>
  </si>
  <si>
    <t>Critical Power, Cooling and Racks</t>
  </si>
  <si>
    <t>End of commercialization</t>
  </si>
  <si>
    <t>Seems no internet protocol</t>
  </si>
  <si>
    <t xml:space="preserve">No information </t>
  </si>
  <si>
    <t>Back-UPS</t>
  </si>
  <si>
    <t xml:space="preserve">Back-UPS Connect </t>
  </si>
  <si>
    <t>Wifi via router ?</t>
  </si>
  <si>
    <t xml:space="preserve">Back-UPS Pro </t>
  </si>
  <si>
    <t>???</t>
  </si>
  <si>
    <t xml:space="preserve">Console LCD Netshelter </t>
  </si>
  <si>
    <t xml:space="preserve">Cooling Distribution and Piping Accessories </t>
  </si>
  <si>
    <t>Cooling Solutions</t>
  </si>
  <si>
    <t>Easy NMC</t>
  </si>
  <si>
    <t>Easy Basic Rack PDU</t>
  </si>
  <si>
    <t>IT Power Distribution</t>
  </si>
  <si>
    <t>Easy Cooling Row CW</t>
  </si>
  <si>
    <t>Modbus RTU, Modbus TCP</t>
  </si>
  <si>
    <t>Easy Custom Rack PDUs</t>
  </si>
  <si>
    <t xml:space="preserve">No reliable information </t>
  </si>
  <si>
    <t>Easy Metered Rack PDU</t>
  </si>
  <si>
    <t>HTTP/HTTPS , SNMP</t>
  </si>
  <si>
    <t>Easy Micro Data Center Serie C</t>
  </si>
  <si>
    <t xml:space="preserve">Phone and application available </t>
  </si>
  <si>
    <t xml:space="preserve">Easy Micro Data Center Serie R </t>
  </si>
  <si>
    <t>Easy Micro Data Center Serie S</t>
  </si>
  <si>
    <t>Easy Switched Rack PDU</t>
  </si>
  <si>
    <t>Easy UPS 1 Ph BVS Series</t>
  </si>
  <si>
    <t>Easy UPS 1 Ph On-Line</t>
  </si>
  <si>
    <t>Modbus &amp; SNMP</t>
  </si>
  <si>
    <t>Easy 3P NMC</t>
  </si>
  <si>
    <t>Easy UPS 3L</t>
  </si>
  <si>
    <t>RS485, dry contacts, Ethernet (SNMP, Modbus, TCP/IP, BACnet) &amp; Web</t>
  </si>
  <si>
    <t>?</t>
  </si>
  <si>
    <t xml:space="preserve">Easy UPS 3L smock extraction </t>
  </si>
  <si>
    <t>SNMP &amp; Modbus Serie ?</t>
  </si>
  <si>
    <t>Easy UPS 3M</t>
  </si>
  <si>
    <t>Modbus Serie, Modbus TCP, Bacnet, Web</t>
  </si>
  <si>
    <t xml:space="preserve">Easy UPS 3M smock extraction </t>
  </si>
  <si>
    <t>Easy UPS 3-Phase Modular</t>
  </si>
  <si>
    <t>Modbus TCP, Modbus Series Ethernet IP, BacNet</t>
  </si>
  <si>
    <t>Easy UPS 3S</t>
  </si>
  <si>
    <t>Easy UPS 3-Series Accessories</t>
  </si>
  <si>
    <t>Easy UPS Lithium Ion SRVL &amp; SRVLS</t>
  </si>
  <si>
    <t>Web, SSH, HTTPS, Modbus (Not sure)</t>
  </si>
  <si>
    <t>Easy UPS On-Line</t>
  </si>
  <si>
    <t xml:space="preserve">Easy UPS Security Light </t>
  </si>
  <si>
    <t>Modbus Serial , SNMP , Modbus TCP/IP</t>
  </si>
  <si>
    <t>Easy UPS SMVS</t>
  </si>
  <si>
    <t>Web SNMP</t>
  </si>
  <si>
    <t>Easy UPS SRVLS</t>
  </si>
  <si>
    <t>Web SNMP , Modbus</t>
  </si>
  <si>
    <t>Easy UPS SRVS</t>
  </si>
  <si>
    <t>SNMP, Web, Modbus serie</t>
  </si>
  <si>
    <t>Easy UPS SVRS</t>
  </si>
  <si>
    <t>Web SNMP , Modbus series</t>
  </si>
  <si>
    <t>Cloud</t>
  </si>
  <si>
    <t xml:space="preserve">EcoStruxure Asset Advisor </t>
  </si>
  <si>
    <t>EcoStruxuretruxure IT Advisor</t>
  </si>
  <si>
    <t>Data Center Software</t>
  </si>
  <si>
    <t>EcoStruxuretruxure IT Expert</t>
  </si>
  <si>
    <t>Gateway</t>
  </si>
  <si>
    <t>EcoStruxuretruxure IT Gateway NUC</t>
  </si>
  <si>
    <t>SNMP, Modbus RTU, Modbus TCP, HTTP/HTTPS,FTP</t>
  </si>
  <si>
    <t>EcoStruxuretruxure IT SmartConnect</t>
  </si>
  <si>
    <t xml:space="preserve">Espace U </t>
  </si>
  <si>
    <t>HTTPS, SNMP, TCP/IP</t>
  </si>
  <si>
    <t xml:space="preserve">Galaxy Lithium-ion Battery Systems </t>
  </si>
  <si>
    <t>Modbus TCP/IP , Modbus RTU</t>
  </si>
  <si>
    <t>NMC4</t>
  </si>
  <si>
    <t>Galaxy PW Gen 2</t>
  </si>
  <si>
    <t>Modbus Series , Web,SNMP</t>
  </si>
  <si>
    <t>Galaxy VL</t>
  </si>
  <si>
    <t>Modbus (SCADA) , Modbus TCP/IP , Modbus RTU</t>
  </si>
  <si>
    <t>Galaxy VM</t>
  </si>
  <si>
    <t>Galaxy VS</t>
  </si>
  <si>
    <t>Modbus (SCADA) , Modbus TCP/IP , Modbus RTU ?, Web</t>
  </si>
  <si>
    <t>drop</t>
  </si>
  <si>
    <t>Galaxy VS accesories</t>
  </si>
  <si>
    <t>Modbus TCP, Modbus RTU</t>
  </si>
  <si>
    <t>Galaxy VX</t>
  </si>
  <si>
    <t>Modbus TCP/IP &amp; Modbus Series, Web,SNMP</t>
  </si>
  <si>
    <t xml:space="preserve">Mail </t>
  </si>
  <si>
    <t>Netbotz 750</t>
  </si>
  <si>
    <t>NetBotz</t>
  </si>
  <si>
    <t>Security and Environmental Monitoring</t>
  </si>
  <si>
    <t>HTTPS, SNMP, TCP/IP, SSH?</t>
  </si>
  <si>
    <t>SSH?</t>
  </si>
  <si>
    <t>NetShelter Basic Rack PDUs</t>
  </si>
  <si>
    <t>Modbus ?</t>
  </si>
  <si>
    <t>NetShelter Custom Rack PDUs</t>
  </si>
  <si>
    <t xml:space="preserve">TelNet, SNMP, Web </t>
  </si>
  <si>
    <t xml:space="preserve">NetShelter Data Center Containment </t>
  </si>
  <si>
    <t>NetShelter Metered Rack PDUs</t>
  </si>
  <si>
    <t>Web &amp; SNMP, SSH?, EcoStruxuretruxure interace, Modbus ?</t>
  </si>
  <si>
    <t>NetShelter Metered-by-Outlet Rack PDUs</t>
  </si>
  <si>
    <t>Modbus TCP/IP, IPv4&amp;6, snmp, ftp, web,</t>
  </si>
  <si>
    <t>NetShelter Rack PDU Advanced</t>
  </si>
  <si>
    <t>IPv4&amp;6, Web, SNMP</t>
  </si>
  <si>
    <t>NetShelter Switched Metered Outlet PDUs</t>
  </si>
  <si>
    <t>Web, SNMP</t>
  </si>
  <si>
    <t>NetShelter Switched Rack PDUs</t>
  </si>
  <si>
    <t xml:space="preserve">Network Managment Card </t>
  </si>
  <si>
    <t>SNMP, Web, FTP Modbus serie</t>
  </si>
  <si>
    <t>Serial</t>
  </si>
  <si>
    <t>PowerChute Business Edition</t>
  </si>
  <si>
    <t>PowerChute Network Shutdown</t>
  </si>
  <si>
    <t>USB</t>
  </si>
  <si>
    <t>PowerChute Personal Edition</t>
  </si>
  <si>
    <t>serial</t>
  </si>
  <si>
    <t>PowerChute Serial Shutdown</t>
  </si>
  <si>
    <t>Smart-UPS</t>
  </si>
  <si>
    <t>SNMP &amp; Web, FTP&amp; Modbus Serie with optional card</t>
  </si>
  <si>
    <t xml:space="preserve">               </t>
  </si>
  <si>
    <t>Smart-UPS Battery Systems</t>
  </si>
  <si>
    <t>Smart-UPS On-Line</t>
  </si>
  <si>
    <t>Web, Modbus Serie, SNMP, FTP, TelNet with a card</t>
  </si>
  <si>
    <t>Smart-UPS On-Line SR1</t>
  </si>
  <si>
    <t>Smart-UPS SCL,SMTL</t>
  </si>
  <si>
    <t>Smart-UPS SMT</t>
  </si>
  <si>
    <t>Smart-UPS SMX</t>
  </si>
  <si>
    <t>Smart-UPS SRT</t>
  </si>
  <si>
    <t>Web SNMP ,Modbus serial , HTTP</t>
  </si>
  <si>
    <t>Smart-UPS SRTG</t>
  </si>
  <si>
    <t>Modbus serial</t>
  </si>
  <si>
    <t xml:space="preserve">Smart-UPS SRTL </t>
  </si>
  <si>
    <t>Web,SNMP</t>
  </si>
  <si>
    <t>Smart-UPS SURT &amp; RT</t>
  </si>
  <si>
    <t>Smart-UPS Ultra</t>
  </si>
  <si>
    <t>Web, Modbus Serie, SNMP, FTP, TelNet? with a card</t>
  </si>
  <si>
    <t xml:space="preserve">Symmetra </t>
  </si>
  <si>
    <t>Symmetra LX</t>
  </si>
  <si>
    <t>Web,SNMP, Wifi,</t>
  </si>
  <si>
    <t>Symmetra PX</t>
  </si>
  <si>
    <t>HTTP, Modbus RTU, IPV6, SNMP</t>
  </si>
  <si>
    <t>Symmetra PX Modular</t>
  </si>
  <si>
    <t>Three-phase Power Transfer System (specific offer)</t>
  </si>
  <si>
    <t>Modbus Serie maybe more</t>
  </si>
  <si>
    <t xml:space="preserve">Unfilair Air Cooled Chillers </t>
  </si>
  <si>
    <t>SNMP, Modbus TCP/IP, Modbus RTU, BacNet</t>
  </si>
  <si>
    <t xml:space="preserve">Unflair Indirect Economizers </t>
  </si>
  <si>
    <t>Modbus</t>
  </si>
  <si>
    <t xml:space="preserve">Uniflair Ceiling Mounted Split Room Cooling </t>
  </si>
  <si>
    <t>Web, Telnet, SSH</t>
  </si>
  <si>
    <t>SSH</t>
  </si>
  <si>
    <t xml:space="preserve">Uniflair Ducted Chillers </t>
  </si>
  <si>
    <t xml:space="preserve">Uniflair Free Cooling Chillers </t>
  </si>
  <si>
    <t>Web, Telnet &amp; SSH</t>
  </si>
  <si>
    <t>Uniflair Med,Large Room Cooling</t>
  </si>
  <si>
    <t>Web, Telnet &amp; SSH, Bacnet, Modbus</t>
  </si>
  <si>
    <t>Uniflair Monoblock Room Cooling</t>
  </si>
  <si>
    <t xml:space="preserve">Uniflair Rack Mounted Room Cooling </t>
  </si>
  <si>
    <t xml:space="preserve">Uniflair Small Room Cooling </t>
  </si>
  <si>
    <t>SNMP, Modbus TCP/IP &amp; RTU, BacNet</t>
  </si>
  <si>
    <t xml:space="preserve">Uniflair SP </t>
  </si>
  <si>
    <t>Modbus TCP,   Telnet, SSH, FTP, HTTP/HTTPS?, SNMP</t>
  </si>
  <si>
    <t xml:space="preserve">Uniflair Wall Mount Room Cooling </t>
  </si>
  <si>
    <t>HTTP/HTTPS, Telnet &amp; SSH?, Bacnet, Modbus</t>
  </si>
  <si>
    <t xml:space="preserve">Uniflair Water Chilled Unit </t>
  </si>
  <si>
    <t xml:space="preserve">Modbus, SNMP?, </t>
  </si>
  <si>
    <t xml:space="preserve">Uniflair Water Cooled Chillers </t>
  </si>
  <si>
    <t>UPS Network Management Cards</t>
  </si>
  <si>
    <t>SSH, HTTP/HTTPS, , SNMP, FTP, IPv4&amp;6, Modbus?</t>
  </si>
  <si>
    <t>EcoStruxure Micro Data Centers</t>
  </si>
  <si>
    <t>Rack Power Distribution</t>
  </si>
  <si>
    <t>UPS Management</t>
  </si>
  <si>
    <t>Seen online but cannot identify product</t>
  </si>
  <si>
    <t>New Category to be implemented (04 Mar)</t>
  </si>
  <si>
    <t>NMC2 Apps</t>
  </si>
  <si>
    <t>NMC3 Apps</t>
  </si>
  <si>
    <t>First Level</t>
  </si>
  <si>
    <t>Name</t>
  </si>
  <si>
    <t>App Name</t>
  </si>
  <si>
    <t>NMC1</t>
  </si>
  <si>
    <t>AOS version 1,2,3</t>
  </si>
  <si>
    <t>AP9617, AP9618, AP9619</t>
  </si>
  <si>
    <t>acrc2g</t>
  </si>
  <si>
    <t>Cooling</t>
  </si>
  <si>
    <t>ACRC-2G</t>
  </si>
  <si>
    <t>NMC2</t>
  </si>
  <si>
    <t>AOS version 5,6,7</t>
  </si>
  <si>
    <t>AP9630, AP9631</t>
  </si>
  <si>
    <t>acrd2g</t>
  </si>
  <si>
    <t>ACRD-2G</t>
  </si>
  <si>
    <t>NMC3</t>
  </si>
  <si>
    <t>AOS version 1.3.3.1, 2.5, 3.4</t>
  </si>
  <si>
    <t>AP9640, AP9641, AP9544</t>
  </si>
  <si>
    <t>acrp2g</t>
  </si>
  <si>
    <t>ACRP-2G</t>
  </si>
  <si>
    <t>AP9644</t>
  </si>
  <si>
    <t>acrptk2g</t>
  </si>
  <si>
    <t>ACRPTK-2G</t>
  </si>
  <si>
    <t>Easy 1P NMC</t>
  </si>
  <si>
    <t>amico</t>
  </si>
  <si>
    <t>AMICO</t>
  </si>
  <si>
    <t>ats</t>
  </si>
  <si>
    <t>3 Phase</t>
  </si>
  <si>
    <t>AQUASCROLL</t>
  </si>
  <si>
    <t>ats4g</t>
  </si>
  <si>
    <t>aquacentr</t>
  </si>
  <si>
    <t>BCWC</t>
  </si>
  <si>
    <t>UPSD*</t>
  </si>
  <si>
    <t>BM4</t>
  </si>
  <si>
    <t>Closecdz</t>
  </si>
  <si>
    <t>Gateway?</t>
  </si>
  <si>
    <t>CHU</t>
  </si>
  <si>
    <t>closecdznam</t>
  </si>
  <si>
    <t>eb2g</t>
  </si>
  <si>
    <t>EB-2G</t>
  </si>
  <si>
    <t>Second Level</t>
  </si>
  <si>
    <t>Fanwall</t>
  </si>
  <si>
    <t>EMGPX</t>
  </si>
  <si>
    <t>PDU</t>
  </si>
  <si>
    <t>G300</t>
  </si>
  <si>
    <t>epdu</t>
  </si>
  <si>
    <t>UPS</t>
  </si>
  <si>
    <t>g7k</t>
  </si>
  <si>
    <t>EU1P</t>
  </si>
  <si>
    <t>G9KCHU</t>
  </si>
  <si>
    <t>eu3p</t>
  </si>
  <si>
    <t>grpp</t>
  </si>
  <si>
    <t>FanWall</t>
  </si>
  <si>
    <t>gvmsa</t>
  </si>
  <si>
    <t>Galaxy RPP</t>
  </si>
  <si>
    <t>gvmts</t>
  </si>
  <si>
    <t>Galaxy VM  SA</t>
  </si>
  <si>
    <t>gvxsa</t>
  </si>
  <si>
    <t>Galaxy VM TS</t>
  </si>
  <si>
    <t>gvxts</t>
  </si>
  <si>
    <t>Galaxy VX SA</t>
  </si>
  <si>
    <t>ledx2g</t>
  </si>
  <si>
    <t>Galaxy VX TS</t>
  </si>
  <si>
    <t>LeoGen2</t>
  </si>
  <si>
    <t>gmod</t>
  </si>
  <si>
    <t>nb250</t>
  </si>
  <si>
    <t>Ledx-2g</t>
  </si>
  <si>
    <t>pmm</t>
  </si>
  <si>
    <t>LEGDUE</t>
  </si>
  <si>
    <t>px2</t>
  </si>
  <si>
    <t>LEOgen-2</t>
  </si>
  <si>
    <t>pxc</t>
  </si>
  <si>
    <t>RPDU</t>
  </si>
  <si>
    <t>rdEdge1xx (saaral)</t>
  </si>
  <si>
    <t>PMM</t>
  </si>
  <si>
    <t>Rack Power</t>
  </si>
  <si>
    <t>rd3xx</t>
  </si>
  <si>
    <t>PX1 - PX2</t>
  </si>
  <si>
    <t>rpdu</t>
  </si>
  <si>
    <t>PXP/PXC</t>
  </si>
  <si>
    <t>rx10x2g</t>
  </si>
  <si>
    <t>Rack ATS</t>
  </si>
  <si>
    <t>Single Phase</t>
  </si>
  <si>
    <t>sc2g</t>
  </si>
  <si>
    <t>Rd2xxx</t>
  </si>
  <si>
    <t>sumx</t>
  </si>
  <si>
    <t>HBN</t>
  </si>
  <si>
    <t>RdEdge1xx (saaral)</t>
  </si>
  <si>
    <t>sxw</t>
  </si>
  <si>
    <t>sy</t>
  </si>
  <si>
    <t>RX10x2g</t>
  </si>
  <si>
    <t>sy3p</t>
  </si>
  <si>
    <t>SC-2g</t>
  </si>
  <si>
    <t>sypx</t>
  </si>
  <si>
    <t>SU</t>
  </si>
  <si>
    <t>trmchlr</t>
  </si>
  <si>
    <t>SUCAN</t>
  </si>
  <si>
    <t>unflrsp</t>
  </si>
  <si>
    <t>SXW</t>
  </si>
  <si>
    <t>unflrtsa</t>
  </si>
  <si>
    <t>SY</t>
  </si>
  <si>
    <t>uniflrle</t>
  </si>
  <si>
    <t>Symmetra PX (Odin)</t>
  </si>
  <si>
    <t>uniflrlel</t>
  </si>
  <si>
    <t>TRIMCHILLER</t>
  </si>
  <si>
    <t>cooling</t>
  </si>
  <si>
    <t>x84p</t>
  </si>
  <si>
    <t>Uniflair SP</t>
  </si>
  <si>
    <t>xpdu</t>
  </si>
  <si>
    <t>UniflairLE</t>
  </si>
  <si>
    <t>xrdp</t>
  </si>
  <si>
    <t>Uniflairle_l</t>
  </si>
  <si>
    <t>xrdp2g</t>
  </si>
  <si>
    <t>UniflairTSA</t>
  </si>
  <si>
    <t>x84P</t>
  </si>
  <si>
    <t>XPDU</t>
  </si>
  <si>
    <t>XRDP</t>
  </si>
  <si>
    <t>XRDP-2G</t>
  </si>
  <si>
    <t xml:space="preserve">Family </t>
  </si>
  <si>
    <t>HTTP/ HTTPS</t>
  </si>
  <si>
    <t xml:space="preserve">Other </t>
  </si>
  <si>
    <t>Andover Continuum</t>
  </si>
  <si>
    <t>Energy management software solution</t>
  </si>
  <si>
    <t>Energy management</t>
  </si>
  <si>
    <t>Discontinued</t>
  </si>
  <si>
    <t>BacNet, Modbus TCP, SNTP</t>
  </si>
  <si>
    <t>Atmostech</t>
  </si>
  <si>
    <t xml:space="preserve">bCX1 </t>
  </si>
  <si>
    <t xml:space="preserve">BacNet </t>
  </si>
  <si>
    <t>Dardo Plus System</t>
  </si>
  <si>
    <t>Building management</t>
  </si>
  <si>
    <t>EasyLogic™ MP-C Controller</t>
  </si>
  <si>
    <t>Controllers, expansion modules, server &amp; HMI</t>
  </si>
  <si>
    <t>BACnet MS,TP</t>
  </si>
  <si>
    <t> </t>
  </si>
  <si>
    <t>EasyLogic™ RP-C Controller</t>
  </si>
  <si>
    <t>EasyLogic™ RP-V Controller</t>
  </si>
  <si>
    <t>EasyLogic™ RP-IO Module</t>
  </si>
  <si>
    <t>EcoStruxure Building Operation</t>
  </si>
  <si>
    <t xml:space="preserve">Software </t>
  </si>
  <si>
    <t>EcoStruxure Buildng Activate</t>
  </si>
  <si>
    <t>EcoStruxuretruxure Fire Expert</t>
  </si>
  <si>
    <t xml:space="preserve">Fire and security </t>
  </si>
  <si>
    <t>Esmi Sense FDP</t>
  </si>
  <si>
    <t xml:space="preserve">Property management and security solutions </t>
  </si>
  <si>
    <t>ExoStruxure Access Expert</t>
  </si>
  <si>
    <t>Building security and access control</t>
  </si>
  <si>
    <t>ExoStruxure Security Expert</t>
  </si>
  <si>
    <t>iNET 7 Access Control</t>
  </si>
  <si>
    <t>iNET 7 HVAC</t>
  </si>
  <si>
    <t>Satchwell Micronet</t>
  </si>
  <si>
    <t>Comms Protocol: ARCNET,LON, NCP</t>
  </si>
  <si>
    <t>Satchwell Sigma</t>
  </si>
  <si>
    <t>Software and hardware</t>
  </si>
  <si>
    <t>SE7000 Series</t>
  </si>
  <si>
    <t>BacNet MS,TP, Zigbee</t>
  </si>
  <si>
    <t>SE8000 Series</t>
  </si>
  <si>
    <t>BacNet MS,TP, Modbus RTU, Zigbee</t>
  </si>
  <si>
    <t>Software, SpaceLogic C-Bus, commissioning</t>
  </si>
  <si>
    <t>Residential and small business</t>
  </si>
  <si>
    <t xml:space="preserve">SpaceLogic Advanced Display </t>
  </si>
  <si>
    <t xml:space="preserve">3,4G USBNet:2.0 </t>
  </si>
  <si>
    <t>SpaceLogic C-Bus</t>
  </si>
  <si>
    <t>BacNet IP, KNX, Modbus RTU, Modbus TCP, EIP</t>
  </si>
  <si>
    <t>SpaceLogic KNX</t>
  </si>
  <si>
    <t>KNX, ModbusRTU &amp; TCP, BacNet TCP, 3G modem, Web, HTTP/HTTPS, FTP, Wifi</t>
  </si>
  <si>
    <t>SpaceLogic Wireless Connectivity - Advanced</t>
  </si>
  <si>
    <t>SpaceLogic™ and EasyLogic™ Adapters</t>
  </si>
  <si>
    <t>BacNet IP ans BacNEt MS,TP</t>
  </si>
  <si>
    <t>SpaceLogic™ AS-B Automation Server</t>
  </si>
  <si>
    <t>BacNet, EIP, Modbus TCP, SNTP</t>
  </si>
  <si>
    <t>SpaceLogic™ AS-P Automation Server</t>
  </si>
  <si>
    <t>BacNet, EIP, Modbus TCP, SNTP, HTTP/HTTPS</t>
  </si>
  <si>
    <t>SpaceLogic™ Central I,O Module</t>
  </si>
  <si>
    <t>BacNet IP</t>
  </si>
  <si>
    <t>SpaceLogic™ IP-IO Expansion Module</t>
  </si>
  <si>
    <t>SpaceLogic™ MP-C Controller</t>
  </si>
  <si>
    <t xml:space="preserve">BacNet,IP </t>
  </si>
  <si>
    <t>SpaceLogic™ MP-V Controller</t>
  </si>
  <si>
    <t>BACnet,IP, KNX</t>
  </si>
  <si>
    <t>SpaceLogic™ Operator Display</t>
  </si>
  <si>
    <t>BacNEt IP</t>
  </si>
  <si>
    <t>SpaceLogic™ Advanced Display</t>
  </si>
  <si>
    <t>SpaceLogic™ RP-C Controller</t>
  </si>
  <si>
    <t>BACnet IP
Bluetooth 5.0 LE 2.4 GHz
BACnet MS,TP</t>
  </si>
  <si>
    <t>SpaceLogic™ RP-V Controller</t>
  </si>
  <si>
    <t>Bluetooth 5.1 low energy
BacNet IP</t>
  </si>
  <si>
    <t>SpaceLogic™ RP Controller - Light &amp; Blind Modules</t>
  </si>
  <si>
    <t>SpaceLogic™ RP Controller - Room Sensor Modules</t>
  </si>
  <si>
    <t>SpaceLYnk</t>
  </si>
  <si>
    <t>Home Automation</t>
  </si>
  <si>
    <t>KNX, ModbusRTU &amp; TCP, BacNet TCP, 3G modem, Web, HTTP/HTTPS, FTP</t>
  </si>
  <si>
    <t>Stachwell Controllers</t>
  </si>
  <si>
    <t>suspectable</t>
  </si>
  <si>
    <t>Bacnet?</t>
  </si>
  <si>
    <t>TAC FM</t>
  </si>
  <si>
    <t>TAC I,A Series</t>
  </si>
  <si>
    <t>BacNet, Modbus TCP</t>
  </si>
  <si>
    <t>TAC I,NET</t>
  </si>
  <si>
    <t>TAC Vista</t>
  </si>
  <si>
    <t>Bacnet?, Modbus TCP</t>
  </si>
  <si>
    <t>TAC Vista WebStation</t>
  </si>
  <si>
    <t xml:space="preserve">TAC Xenta </t>
  </si>
  <si>
    <t>SmartX IP Controller</t>
  </si>
  <si>
    <t>BacNet, Modbus TCP, MSTP/IP</t>
  </si>
  <si>
    <t>SpaceLogic</t>
  </si>
  <si>
    <t>Product Risk Priority - PP</t>
  </si>
  <si>
    <t>Extra</t>
  </si>
  <si>
    <t>Commonality</t>
  </si>
  <si>
    <t>Serial Only</t>
  </si>
  <si>
    <t>WiFi, IPV4, IPv6</t>
  </si>
  <si>
    <t>Risk to system, entry point to the system - possible to pivot / lateral movement, has connectivity, exposable</t>
  </si>
  <si>
    <t>BSCM+</t>
  </si>
  <si>
    <t>Low Voltage Products and Systems</t>
  </si>
  <si>
    <t>Modbus SL</t>
  </si>
  <si>
    <t>ComPacT INS,INV</t>
  </si>
  <si>
    <t xml:space="preserve">Circuit Breakers and Switches </t>
  </si>
  <si>
    <t>Communication by PowerTag</t>
  </si>
  <si>
    <t>Zigbee (Powertag)</t>
  </si>
  <si>
    <t>Not directly exposable, mostly serial connectivity, deep in the network architecture</t>
  </si>
  <si>
    <t>CompacT NS &gt; 630A</t>
  </si>
  <si>
    <t>Modbus Serie with Enerlin'X and Micrologic or maybe natively</t>
  </si>
  <si>
    <t>Compact NSX</t>
  </si>
  <si>
    <t>Modbus Serie &amp; Modbus TCP with Enerlin'X, Micrologic (Use ULP to connect) or maybe natively</t>
  </si>
  <si>
    <t>Modbus Serie when connected to Enerlin'X IFM / BSCM+
Modbus TCP when connected to Enerlin'X IFE
Zigbee with PowerTag</t>
  </si>
  <si>
    <t>Enerlin'X FDM121</t>
  </si>
  <si>
    <t>ULP (=S= internal)</t>
  </si>
  <si>
    <t>Enerlin'X IFE</t>
  </si>
  <si>
    <t>FTPS, HTTP/HTTPS, Modbus Serie, Modbus TCP, SNTP, Web, IEC61850, SNMP, SMTP, NTP, RSTP, Secure ModbusTCP, DNS</t>
  </si>
  <si>
    <t>Enerlin'X EIFE</t>
  </si>
  <si>
    <t>FTPS, HTTP/HTTPS, Modbus Serie, Modbus TCP, SNTP, Web, IEC61850, SNMP, SMTP, NTP, RSTP, Secure ModbusTCP</t>
  </si>
  <si>
    <t>Enerlin'X IFM</t>
  </si>
  <si>
    <t>EOCR</t>
  </si>
  <si>
    <t>Contactors &amp; protection relays</t>
  </si>
  <si>
    <t>It is a product for China</t>
  </si>
  <si>
    <t>MasterPacT MTZ</t>
  </si>
  <si>
    <t>*Primary connectivity is through Enerlin'X IFE/EIFE
Modbus Serie by gateway or maybe natively</t>
  </si>
  <si>
    <t>Zigbee, IEC61850, Modbus Series, ModbusTCP, CoAP, Bluetooth low energy, NFC</t>
  </si>
  <si>
    <t>MasterPacT NT</t>
  </si>
  <si>
    <t>End of Commercialization</t>
  </si>
  <si>
    <t>*Primary connectivity is through Enerlin'X IFE/EIFE
Modbus Serie &amp; Modbus TCP with Enerlin'X, Micrologic (Use ULP to connect) or maybe natively</t>
  </si>
  <si>
    <t>Modbus Serie when connected to Enerlin'X IFM / BSCM+
Modbus TCP when connected to Enerlin'X IFE</t>
  </si>
  <si>
    <t>MasterPacT NW</t>
  </si>
  <si>
    <t>MasterPacT MTZ active</t>
  </si>
  <si>
    <t>Circuit Breaker</t>
  </si>
  <si>
    <t>*Primary connectivity is through Enerlin'X IFE/EIFE</t>
  </si>
  <si>
    <t>Modbus, Zigbee, NFC, CoAP</t>
  </si>
  <si>
    <t>PowerPact</t>
  </si>
  <si>
    <t xml:space="preserve">*Primary connectivity is through Enerlin'X IFE/EIFE
Modbus Serie &amp; Modbus TCP with Enerlin'X, Micrologic (Use ULP to connect) </t>
  </si>
  <si>
    <t>Modbus Serie, Modbus TCP and maybe more</t>
  </si>
  <si>
    <t>PrismaSeT G Active</t>
  </si>
  <si>
    <t>With gateway Lora,4G</t>
  </si>
  <si>
    <t>LoRa, Bluetooth, IEEE 802.15.4</t>
  </si>
  <si>
    <t>PrismaSeT P Active</t>
  </si>
  <si>
    <t>SourcePact</t>
  </si>
  <si>
    <t>Source isolation switch</t>
  </si>
  <si>
    <t xml:space="preserve">Tesys Terra </t>
  </si>
  <si>
    <t>Modbus SL, Modbus TCP, Ethernet IP, Profibus DP, DeviceNet</t>
  </si>
  <si>
    <t>TransferPacT</t>
  </si>
  <si>
    <t>PAS900S/LT</t>
  </si>
  <si>
    <t>Modbus SL, Modbus TCP, Zigbee, Wifi, HTTPS, 4G, SNTP, DHCP</t>
  </si>
  <si>
    <t>PAS700 (Pocket HUB)</t>
  </si>
  <si>
    <t>Modbus SL, Modbus TCP,, Wifi, HTTPS, SNTP</t>
  </si>
  <si>
    <t>Residential and Small Business</t>
  </si>
  <si>
    <t>HW and SW</t>
  </si>
  <si>
    <t>Home</t>
  </si>
  <si>
    <t>KNX IP, BacNet IP, Modbus RUT &amp; TCP, Wifi, Zigbee, BacNet, 3G, HTTP/HTTPS, FTP</t>
  </si>
  <si>
    <t xml:space="preserve">Acti9 Active </t>
  </si>
  <si>
    <t>Low Voltage Products and systems</t>
  </si>
  <si>
    <t>Distribution</t>
  </si>
  <si>
    <t>In built connectivity  (use with PAS)</t>
  </si>
  <si>
    <t xml:space="preserve">homeLYnk </t>
  </si>
  <si>
    <t>KNX, ModbusRTU &amp; TCP, BacNet TCP, HTTP, HTTPS, KNX Net/IP</t>
  </si>
  <si>
    <t>C-Bus Home Automation</t>
  </si>
  <si>
    <t>3 controller and servers</t>
  </si>
  <si>
    <t>KNX Home Automation</t>
  </si>
  <si>
    <t xml:space="preserve">KNX Net/IP, KNX, </t>
  </si>
  <si>
    <t>PowerLink G4 3500 Level Controller</t>
  </si>
  <si>
    <t>SpaceLogic C-Bus Home Automation System</t>
  </si>
  <si>
    <t>Wiser Smart Home</t>
  </si>
  <si>
    <t>SM AirSeT</t>
  </si>
  <si>
    <t xml:space="preserve">Medium Voltage Distribution and grid automation </t>
  </si>
  <si>
    <t>System so the different products within might be the ones detectable</t>
  </si>
  <si>
    <t>RM AirSeT</t>
  </si>
  <si>
    <t>BlokSeT</t>
  </si>
  <si>
    <t>Okken</t>
  </si>
  <si>
    <t xml:space="preserve">MCSet </t>
  </si>
  <si>
    <t>PremSet</t>
  </si>
  <si>
    <t>SM6</t>
  </si>
  <si>
    <t>RM6</t>
  </si>
  <si>
    <t>PIX</t>
  </si>
  <si>
    <t>MotorPact</t>
  </si>
  <si>
    <t>GenieEvo</t>
  </si>
  <si>
    <t xml:space="preserve">Fluair </t>
  </si>
  <si>
    <t>DNF7</t>
  </si>
  <si>
    <t>Masterclad</t>
  </si>
  <si>
    <t>GMA</t>
  </si>
  <si>
    <t>GHA</t>
  </si>
  <si>
    <t>CBGS-x</t>
  </si>
  <si>
    <t>WS,WI</t>
  </si>
  <si>
    <t>FBX</t>
  </si>
  <si>
    <t>DVCAS</t>
  </si>
  <si>
    <t>Flusarc</t>
  </si>
  <si>
    <t xml:space="preserve">VarSet </t>
  </si>
  <si>
    <t xml:space="preserve">EcoStruxure ArcFM series </t>
  </si>
  <si>
    <t>Innovation at the edge</t>
  </si>
  <si>
    <t>EcoStruxure DERMS</t>
  </si>
  <si>
    <t xml:space="preserve">EcoStruxure ADMS </t>
  </si>
  <si>
    <t>EcoStruxure Microgrid Operation</t>
  </si>
  <si>
    <t>Energy Control Center</t>
  </si>
  <si>
    <t xml:space="preserve">EcoStruxuretruxure Microgrid Advisor </t>
  </si>
  <si>
    <t>EcoStruxuretruxure Microgrid Flex</t>
  </si>
  <si>
    <t>EV Link</t>
  </si>
  <si>
    <t>Electrical Car Charging</t>
  </si>
  <si>
    <t>Wifi</t>
  </si>
  <si>
    <t>BASIC</t>
  </si>
  <si>
    <t>Motor Management</t>
  </si>
  <si>
    <t xml:space="preserve">Portfolio company </t>
  </si>
  <si>
    <t>Connected product ?</t>
  </si>
  <si>
    <t>Company : Himel</t>
  </si>
  <si>
    <t>No Information</t>
  </si>
  <si>
    <t>EXPERT-Standard</t>
  </si>
  <si>
    <t>HASBS</t>
  </si>
  <si>
    <t>HASXS</t>
  </si>
  <si>
    <t>SMART-Pump (himel)</t>
  </si>
  <si>
    <t>SOLAR (himel)</t>
  </si>
  <si>
    <t>Smart Devices</t>
  </si>
  <si>
    <t xml:space="preserve">Home electric </t>
  </si>
  <si>
    <t>Reactive Power Compensation Controllers</t>
  </si>
  <si>
    <t xml:space="preserve">Power Factor Correction </t>
  </si>
  <si>
    <t xml:space="preserve">Digital Panel Meters </t>
  </si>
  <si>
    <t>Metering</t>
  </si>
  <si>
    <t>Xantrex XW</t>
  </si>
  <si>
    <t>Solar Off grid and Back up</t>
  </si>
  <si>
    <t xml:space="preserve">Solar and Energy Storage </t>
  </si>
  <si>
    <t>Conext ComBox</t>
  </si>
  <si>
    <t>Commercialized?</t>
  </si>
  <si>
    <t xml:space="preserve">Modbus </t>
  </si>
  <si>
    <t>Conext MPPT</t>
  </si>
  <si>
    <t xml:space="preserve">Insight Energy Management </t>
  </si>
  <si>
    <t>HW/SW</t>
  </si>
  <si>
    <t>Gateway and associated software</t>
  </si>
  <si>
    <t>Wifi, EIP?, Web-HTTP/HTTPS</t>
  </si>
  <si>
    <t>Conext SW/XW</t>
  </si>
  <si>
    <t xml:space="preserve">Conext AGS </t>
  </si>
  <si>
    <t>By RJ45</t>
  </si>
  <si>
    <t xml:space="preserve">Xanbus </t>
  </si>
  <si>
    <t>Conext SCP (Solar Control Panel)</t>
  </si>
  <si>
    <t>By RJ46</t>
  </si>
  <si>
    <t>Conext CL</t>
  </si>
  <si>
    <t xml:space="preserve">BU </t>
  </si>
  <si>
    <t>AVEVA Batch Management</t>
  </si>
  <si>
    <t>Aveva</t>
  </si>
  <si>
    <t>AVEVA Edge</t>
  </si>
  <si>
    <t>AVEVA Insight</t>
  </si>
  <si>
    <t>AVEVA Manufacturing Execution System</t>
  </si>
  <si>
    <t>AVEVA Plant SCADA</t>
  </si>
  <si>
    <t>AVEVA Recipe Management</t>
  </si>
  <si>
    <t>AVEVA System Platform</t>
  </si>
  <si>
    <t>AVEVA Unified Operations Center</t>
  </si>
  <si>
    <t xml:space="preserve">AVEVA Process Engineering </t>
  </si>
  <si>
    <t xml:space="preserve">AVEVA Simulation and Learning </t>
  </si>
  <si>
    <t xml:space="preserve">AVEVA Operations Control </t>
  </si>
  <si>
    <t xml:space="preserve">AVEVA Work Tasks </t>
  </si>
  <si>
    <t xml:space="preserve">AVEVA Production Optimization </t>
  </si>
  <si>
    <t xml:space="preserve">AVEVA PI System </t>
  </si>
  <si>
    <t xml:space="preserve">AVEVA Operations Data Management </t>
  </si>
  <si>
    <t xml:space="preserve">AVEVA Predictive Analytics </t>
  </si>
  <si>
    <t xml:space="preserve">AVEVA Asset Performance Management </t>
  </si>
  <si>
    <t>AVEVA Flex Subscription Program</t>
  </si>
  <si>
    <t xml:space="preserve">AVEVA InTouch HMI </t>
  </si>
  <si>
    <t xml:space="preserve">AVEVA Historian </t>
  </si>
  <si>
    <t xml:space="preserve">AVEVA Entreprise SCADA </t>
  </si>
  <si>
    <t>AVEVA Unified Engineering</t>
  </si>
  <si>
    <t xml:space="preserve">Offer found on AVEVA HighSpot </t>
  </si>
  <si>
    <t>AVEVA Engineering</t>
  </si>
  <si>
    <t>AVEVA P&amp;ID</t>
  </si>
  <si>
    <t xml:space="preserve">AVEVA Diagrams </t>
  </si>
  <si>
    <t>AVEVA Electrical and Instrumentation</t>
  </si>
  <si>
    <t xml:space="preserve">AVEVA E3D Design </t>
  </si>
  <si>
    <t>AVEVA Entrperise Resource Management</t>
  </si>
  <si>
    <t xml:space="preserve">AVEVA Process Simulation </t>
  </si>
  <si>
    <t xml:space="preserve">AVEVA Dynamic Simulation </t>
  </si>
  <si>
    <t>AVEVA PRO/II Simulation</t>
  </si>
  <si>
    <t xml:space="preserve">AVEVA Pipeline Integrity Monitor </t>
  </si>
  <si>
    <t xml:space="preserve">AVEVA Unified Learning </t>
  </si>
  <si>
    <t>AVEVA Teamwork</t>
  </si>
  <si>
    <t>AVEVA Crude Assay Management</t>
  </si>
  <si>
    <t xml:space="preserve">AVEVA Unified Supply Chain </t>
  </si>
  <si>
    <t xml:space="preserve">AVEVA Advanced Planning and Scheduling </t>
  </si>
  <si>
    <t>AVEVA Asset information management</t>
  </si>
  <si>
    <t xml:space="preserve">AVEVA 3D Visualization </t>
  </si>
  <si>
    <t xml:space="preserve">AVEVA Information Standards Management </t>
  </si>
  <si>
    <t xml:space="preserve">AVEVA Point Cloud Management </t>
  </si>
  <si>
    <t>AVEVA PI</t>
  </si>
  <si>
    <t xml:space="preserve">AVEVA Operations contorl </t>
  </si>
  <si>
    <t xml:space="preserve">AVEVA Edge </t>
  </si>
  <si>
    <t xml:space="preserve">AVEVA Plant SCADA </t>
  </si>
  <si>
    <t>AVEVA Integration Studio</t>
  </si>
  <si>
    <t>AVEVA Asset Performance Management</t>
  </si>
  <si>
    <t>AVEVA Planning and Operations</t>
  </si>
  <si>
    <t>AVEVA Production Management</t>
  </si>
  <si>
    <t>AVEVA InTouch HMI</t>
  </si>
  <si>
    <t>AVEVA MES</t>
  </si>
  <si>
    <t>AVEVA Historian</t>
  </si>
  <si>
    <t>AVEVA Enterprise SCADA</t>
  </si>
  <si>
    <t>AVEVA Monitoring and Control</t>
  </si>
  <si>
    <t>AVEVA Everything3D</t>
  </si>
  <si>
    <t>AVEVA E3D Design</t>
  </si>
  <si>
    <t>AVEVA Electrical</t>
  </si>
  <si>
    <t>AVEVA Diagrams</t>
  </si>
  <si>
    <t>AVEVA Instrumentation</t>
  </si>
  <si>
    <t>AVEVA Pipe Stress</t>
  </si>
  <si>
    <t>AVEVA Bocad</t>
  </si>
  <si>
    <t>AVEVA Laser Modeller</t>
  </si>
  <si>
    <t>AVEVA Engage</t>
  </si>
  <si>
    <t>AVEVA LFM</t>
  </si>
  <si>
    <t>AVEVA Point Cloud Management</t>
  </si>
  <si>
    <t xml:space="preserve">AVEVA Reports for Operations </t>
  </si>
  <si>
    <t>AVEVA Discrete Lean Management</t>
  </si>
  <si>
    <t>AVEVA Off-sites Managemenbt</t>
  </si>
  <si>
    <t xml:space="preserve">AVEVA Production Accounting </t>
  </si>
  <si>
    <t xml:space="preserve">AVEVA APC </t>
  </si>
  <si>
    <t>AVEVA Process Optimization</t>
  </si>
  <si>
    <t xml:space="preserve">AVEVA APM Assessment </t>
  </si>
  <si>
    <t>AVEVA Asset strategy Optimization</t>
  </si>
  <si>
    <t xml:space="preserve">AVEVA Modbile Operator </t>
  </si>
  <si>
    <t xml:space="preserve">AVEVA Operational Safety Management </t>
  </si>
  <si>
    <t>AVEVA Connect</t>
  </si>
  <si>
    <t xml:space="preserve">AVEVA Edge Management </t>
  </si>
  <si>
    <t xml:space="preserve">AVEVA Hull and Outfitting </t>
  </si>
  <si>
    <t xml:space="preserve">AVEVA Plate and Bar Nesting </t>
  </si>
  <si>
    <t xml:space="preserve">AVEVA Enterprise Resource Management </t>
  </si>
  <si>
    <t xml:space="preserve">AVEVA Contract Risk Management </t>
  </si>
  <si>
    <t xml:space="preserve">AVEVA Asset Informatinon Management </t>
  </si>
  <si>
    <t xml:space="preserve">AVEVA 3D Asset Visualization </t>
  </si>
  <si>
    <t xml:space="preserve">AVEVA Training Simulator </t>
  </si>
  <si>
    <t xml:space="preserve">AVEVA Operator Training Simulator </t>
  </si>
  <si>
    <t>AVEVA Highspot : https://aveva.highspot.com/accounts/select/config</t>
  </si>
  <si>
    <t>Offers not in PP portfolio</t>
  </si>
  <si>
    <t>EvoPacT HVX</t>
  </si>
  <si>
    <t>Medium Voltage Switchgear Components</t>
  </si>
  <si>
    <t>Connected Produc</t>
  </si>
  <si>
    <t>EvoPacT LF</t>
  </si>
  <si>
    <t>EvoPacT SF</t>
  </si>
  <si>
    <t>VAH</t>
  </si>
  <si>
    <t>VigiPacT</t>
  </si>
  <si>
    <t>MicroLogic</t>
  </si>
  <si>
    <t>MicroLogic 2.0</t>
  </si>
  <si>
    <t xml:space="preserve">Modbus Serie, Modbus TCP, bluetooth, </t>
  </si>
  <si>
    <t>Canalis</t>
  </si>
  <si>
    <t>Busbar and cable management</t>
  </si>
  <si>
    <t>Com bus DALI &amp; DSI and Product documentation says modbus is applicable  (Not sure)</t>
  </si>
  <si>
    <t>No protocol supported</t>
  </si>
  <si>
    <t>ComPacT NS Switch-disconnectors</t>
  </si>
  <si>
    <t>Offers not in H&amp;D portfolio</t>
  </si>
  <si>
    <t>Hems Logic Gateway</t>
  </si>
  <si>
    <t>Currently not included in the list. TBD later.</t>
  </si>
  <si>
    <t>Twin Bus IP</t>
  </si>
  <si>
    <t>SIP, SIPs, RTSP</t>
  </si>
  <si>
    <t>eConfigure KNX</t>
  </si>
  <si>
    <t>Lite,Expert</t>
  </si>
  <si>
    <t xml:space="preserve">Acti9 iEM2000 </t>
  </si>
  <si>
    <t>Power metering and control</t>
  </si>
  <si>
    <t>Acti9 iEM3000</t>
  </si>
  <si>
    <t>Basic Energy Metering</t>
  </si>
  <si>
    <t>Bacnet, Modbus serie</t>
  </si>
  <si>
    <t>Acti9 PowerTag Link</t>
  </si>
  <si>
    <t xml:space="preserve">Electrical Protection and control </t>
  </si>
  <si>
    <t>HTTP/HTTPS, Modbus TCP, Web</t>
  </si>
  <si>
    <t xml:space="preserve">Acti9 Smartlink </t>
  </si>
  <si>
    <t>Power monitoring and control</t>
  </si>
  <si>
    <t>Modbus RTU, Modbus TCP, Web</t>
  </si>
  <si>
    <t>2000 SERIES CONTROLLER</t>
  </si>
  <si>
    <t>3000 SERIES CONTROLLER</t>
  </si>
  <si>
    <t xml:space="preserve">EcoStruxure Power Design Ecodial </t>
  </si>
  <si>
    <t>energy management software solution</t>
  </si>
  <si>
    <t>Category</t>
  </si>
  <si>
    <t>Can Identify</t>
  </si>
  <si>
    <t>Remarks</t>
  </si>
  <si>
    <t>Can detect at least 1 product with NMC</t>
  </si>
  <si>
    <t>Can detect at least 1 product with NMC4</t>
  </si>
  <si>
    <t>Can detect at least 1 product</t>
  </si>
  <si>
    <t>Can detect at least 1 software</t>
  </si>
  <si>
    <t>MicroGrid (D. Energy)</t>
  </si>
  <si>
    <t>EcoStruxure Power (D. Energy)</t>
  </si>
  <si>
    <t>Wiser KNX (SpaceLogic KNX)</t>
  </si>
  <si>
    <t>TO be Deleted</t>
  </si>
  <si>
    <t>Check with DB</t>
  </si>
  <si>
    <t>Home Solutions</t>
  </si>
  <si>
    <t>SP LOB</t>
  </si>
  <si>
    <t>T&amp;E</t>
  </si>
  <si>
    <t>DCS</t>
  </si>
  <si>
    <t>Easy UPS</t>
  </si>
  <si>
    <t>NetShelter Rack PDUs</t>
  </si>
  <si>
    <t>Symmetra (1P)</t>
  </si>
  <si>
    <t>Symmetra PX (3P)</t>
  </si>
  <si>
    <t>Unfilair</t>
  </si>
  <si>
    <t>Data Center Expert</t>
  </si>
  <si>
    <t>LOB in SP Divisions</t>
  </si>
  <si>
    <t>DC - Data Centre Systems</t>
  </si>
  <si>
    <t>T&amp;E - Transactional &amp; Edge</t>
  </si>
  <si>
    <t>Services</t>
  </si>
  <si>
    <t>Done</t>
  </si>
  <si>
    <t>Review pending</t>
  </si>
  <si>
    <t>Not Started</t>
  </si>
  <si>
    <t>Review Status</t>
  </si>
  <si>
    <t>Agilis (Galaxy VL, VS, VXL)</t>
  </si>
  <si>
    <t>Easy Micro Data Center Serie (C, R, S)</t>
  </si>
  <si>
    <t>NetBotz 750</t>
  </si>
  <si>
    <t>NetBotz 250 (A)</t>
  </si>
  <si>
    <t>Easy UPS (3S, 3M, 3L)</t>
  </si>
  <si>
    <t>Protection and Control</t>
  </si>
  <si>
    <t xml:space="preserve">Basic Metering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</si>
</sst>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0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333333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1"/>
      <color rgb="FF000000"/>
      <name val="Calibri"/>
      <family val="2"/>
      <scheme val="minor"/>
    </font>
    <font>
      <strike/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72AF2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FFCC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theme="9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9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 tint="0.3999755851924192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/>
      <bottom style="thin">
        <color rgb="FF00000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9" fontId="15" fillId="0" borderId="0" applyFont="0" applyFill="0" applyBorder="0" applyAlignment="0" applyProtection="0"/>
  </cellStyleXfs>
  <cellXfs count="4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9" xfId="0" applyBorder="1" applyAlignment="1">
      <alignment horizontal="left" vertical="center" wrapText="1"/>
    </xf>
    <xf numFmtId="0" fontId="1" fillId="0" borderId="10" xfId="0" applyFont="1" applyBorder="1" applyAlignment="1">
      <alignment horizontal="center" wrapText="1"/>
    </xf>
    <xf numFmtId="0" fontId="3" fillId="7" borderId="12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5" xfId="0" applyFont="1" applyBorder="1" applyAlignment="1">
      <alignment horizont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1" fillId="0" borderId="17" xfId="0" applyFont="1" applyBorder="1" applyAlignment="1">
      <alignment horizontal="center" wrapText="1"/>
    </xf>
    <xf numFmtId="0" fontId="5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wrapText="1"/>
    </xf>
    <xf numFmtId="0" fontId="3" fillId="7" borderId="19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wrapText="1"/>
    </xf>
    <xf numFmtId="0" fontId="3" fillId="7" borderId="13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0" fillId="8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3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0" fillId="0" borderId="12" xfId="0" applyBorder="1" applyAlignment="1">
      <alignment wrapText="1"/>
    </xf>
    <xf numFmtId="0" fontId="1" fillId="0" borderId="13" xfId="0" applyFont="1" applyBorder="1" applyAlignment="1">
      <alignment horizontal="center" wrapText="1"/>
    </xf>
    <xf numFmtId="0" fontId="0" fillId="0" borderId="21" xfId="0" applyBorder="1" applyAlignment="1">
      <alignment wrapText="1"/>
    </xf>
    <xf numFmtId="0" fontId="1" fillId="0" borderId="21" xfId="0" applyFont="1" applyBorder="1" applyAlignment="1">
      <alignment horizont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wrapText="1"/>
    </xf>
    <xf numFmtId="0" fontId="1" fillId="0" borderId="12" xfId="0" applyFont="1" applyBorder="1" applyAlignment="1">
      <alignment wrapText="1"/>
    </xf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wrapText="1"/>
    </xf>
    <xf numFmtId="0" fontId="0" fillId="0" borderId="11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0" fillId="9" borderId="0" xfId="0" applyFont="1" applyFill="1" applyAlignment="1">
      <alignment vertical="center"/>
    </xf>
    <xf numFmtId="0" fontId="0" fillId="0" borderId="5" xfId="0" applyBorder="1" applyAlignment="1">
      <alignment horizont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1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1" fillId="13" borderId="1" xfId="0" applyFont="1" applyFill="1" applyBorder="1" applyAlignment="1">
      <alignment horizontal="left" vertical="center" wrapText="1"/>
    </xf>
    <xf numFmtId="0" fontId="10" fillId="11" borderId="10" xfId="0" applyFont="1" applyFill="1" applyBorder="1" applyAlignment="1">
      <alignment horizontal="center" vertical="center"/>
    </xf>
    <xf numFmtId="0" fontId="10" fillId="15" borderId="24" xfId="0" applyFont="1" applyFill="1" applyBorder="1" applyAlignment="1">
      <alignment horizontal="center" vertical="center"/>
    </xf>
    <xf numFmtId="0" fontId="10" fillId="12" borderId="10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14" borderId="10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10" fontId="10" fillId="8" borderId="10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16" fillId="8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19" borderId="18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5" fillId="20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17" borderId="5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6" xfId="0" applyBorder="1" applyAlignment="1">
      <alignment horizontal="left" vertical="center" wrapText="1"/>
    </xf>
    <xf numFmtId="0" fontId="0" fillId="21" borderId="5" xfId="0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" fillId="21" borderId="5" xfId="0" applyFont="1" applyFill="1" applyBorder="1" applyAlignment="1">
      <alignment vertical="center"/>
    </xf>
    <xf numFmtId="0" fontId="0" fillId="22" borderId="5" xfId="0" applyFill="1" applyBorder="1" applyAlignment="1">
      <alignment horizontal="left" vertical="center" wrapText="1"/>
    </xf>
    <xf numFmtId="0" fontId="0" fillId="22" borderId="1" xfId="0" applyFill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0" fillId="23" borderId="1" xfId="0" applyFill="1" applyBorder="1" applyAlignment="1">
      <alignment horizontal="left" vertical="center" wrapText="1"/>
    </xf>
    <xf numFmtId="0" fontId="0" fillId="23" borderId="5" xfId="0" applyFill="1" applyBorder="1" applyAlignment="1">
      <alignment horizontal="left" vertical="center" wrapText="1"/>
    </xf>
    <xf numFmtId="0" fontId="3" fillId="23" borderId="0" xfId="0" applyFont="1" applyFill="1" applyAlignment="1">
      <alignment horizontal="left" vertical="center" wrapText="1"/>
    </xf>
    <xf numFmtId="0" fontId="5" fillId="25" borderId="5" xfId="0" applyFont="1" applyFill="1" applyBorder="1" applyAlignment="1">
      <alignment horizontal="center" vertical="center" wrapText="1"/>
    </xf>
    <xf numFmtId="0" fontId="0" fillId="16" borderId="7" xfId="0" applyFill="1" applyBorder="1" applyAlignment="1">
      <alignment horizontal="left" vertical="center" wrapText="1"/>
    </xf>
    <xf numFmtId="0" fontId="0" fillId="16" borderId="15" xfId="0" applyFill="1" applyBorder="1" applyAlignment="1">
      <alignment horizontal="left" vertical="center" wrapText="1"/>
    </xf>
    <xf numFmtId="0" fontId="0" fillId="16" borderId="37" xfId="0" applyFill="1" applyBorder="1" applyAlignment="1">
      <alignment horizontal="left" vertical="center" wrapText="1"/>
    </xf>
    <xf numFmtId="0" fontId="0" fillId="16" borderId="0" xfId="0" applyFill="1" applyAlignment="1">
      <alignment horizontal="left" vertical="center" wrapText="1"/>
    </xf>
    <xf numFmtId="0" fontId="0" fillId="16" borderId="18" xfId="0" applyFill="1" applyBorder="1" applyAlignment="1">
      <alignment horizontal="left" vertical="center" wrapText="1"/>
    </xf>
    <xf numFmtId="0" fontId="0" fillId="16" borderId="14" xfId="0" applyFill="1" applyBorder="1" applyAlignment="1">
      <alignment horizontal="left" vertical="center" wrapText="1"/>
    </xf>
    <xf numFmtId="0" fontId="0" fillId="24" borderId="37" xfId="0" applyFill="1" applyBorder="1" applyAlignment="1">
      <alignment horizontal="left" vertical="center" wrapText="1"/>
    </xf>
    <xf numFmtId="0" fontId="0" fillId="24" borderId="0" xfId="0" applyFill="1" applyAlignment="1">
      <alignment horizontal="left" vertical="center" wrapText="1"/>
    </xf>
    <xf numFmtId="0" fontId="0" fillId="24" borderId="0" xfId="0" applyFill="1" applyAlignment="1">
      <alignment horizontal="center" vertical="center" wrapText="1"/>
    </xf>
    <xf numFmtId="0" fontId="0" fillId="24" borderId="18" xfId="0" applyFill="1" applyBorder="1" applyAlignment="1">
      <alignment horizontal="left" vertical="center" wrapText="1"/>
    </xf>
    <xf numFmtId="0" fontId="0" fillId="24" borderId="14" xfId="0" applyFill="1" applyBorder="1" applyAlignment="1">
      <alignment horizontal="left" vertical="center" wrapText="1"/>
    </xf>
    <xf numFmtId="0" fontId="0" fillId="24" borderId="14" xfId="0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24" borderId="7" xfId="0" applyFill="1" applyBorder="1" applyAlignment="1">
      <alignment horizontal="left" vertical="center" wrapText="1"/>
    </xf>
    <xf numFmtId="0" fontId="0" fillId="24" borderId="15" xfId="0" applyFill="1" applyBorder="1" applyAlignment="1">
      <alignment horizontal="left" vertical="center" wrapText="1"/>
    </xf>
    <xf numFmtId="0" fontId="0" fillId="24" borderId="15" xfId="0" applyFill="1" applyBorder="1" applyAlignment="1">
      <alignment horizontal="center" vertical="center" wrapText="1"/>
    </xf>
    <xf numFmtId="0" fontId="0" fillId="21" borderId="18" xfId="0" applyFill="1" applyBorder="1" applyAlignment="1">
      <alignment horizontal="left" vertical="center" wrapText="1"/>
    </xf>
    <xf numFmtId="0" fontId="0" fillId="21" borderId="14" xfId="0" applyFill="1" applyBorder="1" applyAlignment="1">
      <alignment horizontal="left" vertical="center" wrapText="1"/>
    </xf>
    <xf numFmtId="0" fontId="0" fillId="21" borderId="14" xfId="0" applyFill="1" applyBorder="1" applyAlignment="1">
      <alignment horizontal="center" vertical="center" wrapText="1"/>
    </xf>
    <xf numFmtId="9" fontId="0" fillId="24" borderId="6" xfId="2" applyFont="1" applyFill="1" applyBorder="1" applyAlignment="1">
      <alignment horizontal="center" vertical="center" wrapText="1"/>
    </xf>
    <xf numFmtId="9" fontId="0" fillId="24" borderId="36" xfId="2" applyFont="1" applyFill="1" applyBorder="1" applyAlignment="1">
      <alignment horizontal="center" vertical="center" wrapText="1"/>
    </xf>
    <xf numFmtId="9" fontId="0" fillId="24" borderId="3" xfId="2" applyFon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9" fontId="10" fillId="0" borderId="0" xfId="2" applyFont="1" applyFill="1" applyAlignment="1">
      <alignment horizontal="center" vertical="center" wrapText="1"/>
    </xf>
    <xf numFmtId="0" fontId="0" fillId="8" borderId="0" xfId="0" applyFill="1" applyAlignment="1">
      <alignment horizontal="left" vertical="center" wrapText="1"/>
    </xf>
    <xf numFmtId="0" fontId="20" fillId="8" borderId="0" xfId="0" applyFont="1" applyFill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9" fontId="20" fillId="0" borderId="0" xfId="2" applyFont="1" applyFill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3" fillId="8" borderId="0" xfId="0" applyFont="1" applyFill="1" applyAlignment="1">
      <alignment horizontal="center" vertical="center" wrapText="1"/>
    </xf>
    <xf numFmtId="9" fontId="3" fillId="8" borderId="0" xfId="2" applyFont="1" applyFill="1" applyAlignment="1">
      <alignment horizontal="center" vertical="center" wrapText="1"/>
    </xf>
    <xf numFmtId="9" fontId="0" fillId="0" borderId="0" xfId="2" applyFont="1" applyAlignment="1">
      <alignment horizontal="left" vertical="center"/>
    </xf>
    <xf numFmtId="0" fontId="1" fillId="27" borderId="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28" borderId="1" xfId="0" applyFill="1" applyBorder="1" applyAlignment="1">
      <alignment vertical="center"/>
    </xf>
    <xf numFmtId="0" fontId="1" fillId="28" borderId="1" xfId="0" applyFont="1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9" fillId="16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5" fillId="19" borderId="4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vertical="center"/>
    </xf>
    <xf numFmtId="17" fontId="10" fillId="0" borderId="0" xfId="0" applyNumberFormat="1" applyFont="1" applyAlignment="1">
      <alignment horizontal="center" vertical="center" wrapText="1"/>
    </xf>
    <xf numFmtId="0" fontId="19" fillId="28" borderId="1" xfId="0" applyFont="1" applyFill="1" applyBorder="1" applyAlignment="1">
      <alignment horizontal="center" vertical="center"/>
    </xf>
    <xf numFmtId="0" fontId="1" fillId="28" borderId="1" xfId="0" applyFont="1" applyFill="1" applyBorder="1" applyAlignment="1">
      <alignment horizontal="center" vertical="center"/>
    </xf>
    <xf numFmtId="0" fontId="1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left" vertical="center"/>
    </xf>
    <xf numFmtId="0" fontId="1" fillId="28" borderId="1" xfId="0" applyFont="1" applyFill="1" applyBorder="1" applyAlignment="1">
      <alignment vertical="center"/>
    </xf>
    <xf numFmtId="0" fontId="24" fillId="0" borderId="2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13" borderId="1" xfId="0" applyFont="1" applyFill="1" applyBorder="1" applyAlignment="1">
      <alignment horizontal="left" vertical="center"/>
    </xf>
    <xf numFmtId="0" fontId="23" fillId="0" borderId="1" xfId="0" applyFont="1" applyBorder="1" applyAlignment="1">
      <alignment vertical="center"/>
    </xf>
    <xf numFmtId="0" fontId="23" fillId="0" borderId="1" xfId="0" applyFont="1" applyBorder="1" applyAlignment="1">
      <alignment horizontal="left" vertical="center"/>
    </xf>
    <xf numFmtId="0" fontId="23" fillId="28" borderId="1" xfId="0" applyFont="1" applyFill="1" applyBorder="1" applyAlignment="1">
      <alignment horizontal="left" vertical="center"/>
    </xf>
    <xf numFmtId="0" fontId="23" fillId="13" borderId="1" xfId="0" applyFont="1" applyFill="1" applyBorder="1" applyAlignment="1">
      <alignment vertical="center"/>
    </xf>
    <xf numFmtId="0" fontId="23" fillId="13" borderId="1" xfId="0" applyFont="1" applyFill="1" applyBorder="1" applyAlignment="1">
      <alignment horizontal="center" vertical="center"/>
    </xf>
    <xf numFmtId="0" fontId="23" fillId="13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7" borderId="40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vertical="center"/>
    </xf>
    <xf numFmtId="0" fontId="0" fillId="27" borderId="1" xfId="0" applyFill="1" applyBorder="1" applyAlignment="1">
      <alignment horizontal="left" vertical="center" wrapText="1"/>
    </xf>
    <xf numFmtId="0" fontId="0" fillId="27" borderId="1" xfId="0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0" fontId="1" fillId="27" borderId="41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 wrapText="1"/>
    </xf>
    <xf numFmtId="0" fontId="1" fillId="27" borderId="44" xfId="0" applyFont="1" applyFill="1" applyBorder="1" applyAlignment="1">
      <alignment horizontal="center" vertical="center"/>
    </xf>
    <xf numFmtId="0" fontId="1" fillId="27" borderId="42" xfId="0" applyFont="1" applyFill="1" applyBorder="1" applyAlignment="1">
      <alignment horizontal="center" vertical="center"/>
    </xf>
    <xf numFmtId="0" fontId="1" fillId="27" borderId="42" xfId="0" applyFont="1" applyFill="1" applyBorder="1" applyAlignment="1">
      <alignment vertical="center"/>
    </xf>
    <xf numFmtId="0" fontId="0" fillId="27" borderId="42" xfId="0" applyFill="1" applyBorder="1" applyAlignment="1">
      <alignment horizontal="left" vertical="center" wrapText="1"/>
    </xf>
    <xf numFmtId="0" fontId="0" fillId="27" borderId="42" xfId="0" applyFill="1" applyBorder="1" applyAlignment="1">
      <alignment vertical="center" wrapText="1"/>
    </xf>
    <xf numFmtId="0" fontId="1" fillId="27" borderId="42" xfId="0" applyFont="1" applyFill="1" applyBorder="1" applyAlignment="1">
      <alignment horizontal="center" vertical="center" wrapText="1"/>
    </xf>
    <xf numFmtId="0" fontId="0" fillId="27" borderId="42" xfId="0" applyFill="1" applyBorder="1" applyAlignment="1">
      <alignment horizontal="center" vertical="center" wrapText="1"/>
    </xf>
    <xf numFmtId="0" fontId="1" fillId="27" borderId="43" xfId="0" applyFont="1" applyFill="1" applyBorder="1" applyAlignment="1">
      <alignment horizontal="center" vertical="center" wrapText="1"/>
    </xf>
    <xf numFmtId="0" fontId="5" fillId="20" borderId="38" xfId="0" applyFont="1" applyFill="1" applyBorder="1" applyAlignment="1">
      <alignment horizontal="center" vertical="center" wrapText="1"/>
    </xf>
    <xf numFmtId="0" fontId="5" fillId="29" borderId="39" xfId="0" applyFont="1" applyFill="1" applyBorder="1" applyAlignment="1">
      <alignment horizontal="center" vertical="center" wrapText="1"/>
    </xf>
    <xf numFmtId="0" fontId="0" fillId="27" borderId="40" xfId="0" applyFill="1" applyBorder="1" applyAlignment="1">
      <alignment horizontal="center" vertical="center" wrapText="1"/>
    </xf>
    <xf numFmtId="164" fontId="0" fillId="0" borderId="0" xfId="2" applyNumberFormat="1" applyFont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7" fillId="21" borderId="5" xfId="0" applyFont="1" applyFill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 wrapText="1"/>
    </xf>
    <xf numFmtId="0" fontId="27" fillId="0" borderId="5" xfId="0" applyFont="1" applyBorder="1" applyAlignment="1">
      <alignment vertical="center" wrapText="1"/>
    </xf>
    <xf numFmtId="0" fontId="23" fillId="0" borderId="5" xfId="0" applyFont="1" applyBorder="1" applyAlignment="1">
      <alignment vertical="center" wrapText="1"/>
    </xf>
    <xf numFmtId="0" fontId="23" fillId="0" borderId="7" xfId="0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0" fillId="0" borderId="8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" fillId="27" borderId="5" xfId="0" applyFont="1" applyFill="1" applyBorder="1" applyAlignment="1">
      <alignment horizontal="center" vertical="center" wrapText="1"/>
    </xf>
    <xf numFmtId="0" fontId="1" fillId="30" borderId="1" xfId="0" applyFont="1" applyFill="1" applyBorder="1" applyAlignment="1">
      <alignment horizontal="center" vertical="center" wrapText="1"/>
    </xf>
    <xf numFmtId="0" fontId="1" fillId="31" borderId="1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1" fillId="0" borderId="45" xfId="0" applyFont="1" applyBorder="1" applyAlignment="1">
      <alignment vertical="center"/>
    </xf>
    <xf numFmtId="0" fontId="19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27" borderId="47" xfId="0" applyFill="1" applyBorder="1" applyAlignment="1">
      <alignment horizontal="center" vertical="center"/>
    </xf>
    <xf numFmtId="0" fontId="0" fillId="27" borderId="46" xfId="0" applyFill="1" applyBorder="1" applyAlignment="1">
      <alignment horizontal="center" vertical="center" wrapText="1"/>
    </xf>
    <xf numFmtId="0" fontId="0" fillId="21" borderId="47" xfId="0" applyFill="1" applyBorder="1" applyAlignment="1">
      <alignment horizontal="left" vertical="center" wrapText="1"/>
    </xf>
    <xf numFmtId="0" fontId="0" fillId="27" borderId="47" xfId="0" applyFill="1" applyBorder="1" applyAlignment="1">
      <alignment horizontal="left" vertical="center" wrapText="1"/>
    </xf>
    <xf numFmtId="0" fontId="0" fillId="27" borderId="47" xfId="0" applyFill="1" applyBorder="1" applyAlignment="1">
      <alignment horizontal="left" vertical="center"/>
    </xf>
    <xf numFmtId="0" fontId="1" fillId="27" borderId="47" xfId="0" applyFont="1" applyFill="1" applyBorder="1" applyAlignment="1">
      <alignment horizontal="left" vertical="center" wrapText="1"/>
    </xf>
    <xf numFmtId="0" fontId="0" fillId="27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left" vertical="center"/>
    </xf>
    <xf numFmtId="0" fontId="1" fillId="27" borderId="1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0" fontId="28" fillId="0" borderId="0" xfId="0" applyFont="1" applyAlignment="1">
      <alignment horizontal="left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48" xfId="0" applyFont="1" applyBorder="1" applyAlignment="1">
      <alignment horizontal="left" vertical="center"/>
    </xf>
    <xf numFmtId="0" fontId="0" fillId="0" borderId="48" xfId="0" applyBorder="1" applyAlignment="1">
      <alignment horizontal="center" vertical="center"/>
    </xf>
    <xf numFmtId="0" fontId="1" fillId="8" borderId="48" xfId="0" applyFont="1" applyFill="1" applyBorder="1" applyAlignment="1">
      <alignment horizontal="center" vertical="center"/>
    </xf>
    <xf numFmtId="0" fontId="1" fillId="8" borderId="48" xfId="0" applyFont="1" applyFill="1" applyBorder="1" applyAlignment="1">
      <alignment horizontal="left" vertical="center"/>
    </xf>
    <xf numFmtId="0" fontId="0" fillId="0" borderId="48" xfId="0" applyBorder="1" applyAlignment="1">
      <alignment horizontal="center" vertical="center" wrapText="1"/>
    </xf>
    <xf numFmtId="0" fontId="0" fillId="0" borderId="48" xfId="0" applyBorder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left" vertical="center"/>
    </xf>
    <xf numFmtId="0" fontId="0" fillId="8" borderId="49" xfId="0" applyFill="1" applyBorder="1" applyAlignment="1">
      <alignment horizontal="center" vertical="center" wrapText="1"/>
    </xf>
    <xf numFmtId="0" fontId="0" fillId="8" borderId="49" xfId="0" applyFill="1" applyBorder="1" applyAlignment="1">
      <alignment horizontal="left" vertical="center" wrapText="1"/>
    </xf>
    <xf numFmtId="0" fontId="0" fillId="8" borderId="48" xfId="0" applyFill="1" applyBorder="1" applyAlignment="1">
      <alignment horizontal="center" vertical="center" wrapText="1"/>
    </xf>
    <xf numFmtId="0" fontId="0" fillId="8" borderId="48" xfId="0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4" borderId="0" xfId="0" applyFont="1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0" borderId="50" xfId="0" applyBorder="1" applyAlignment="1">
      <alignment horizontal="left" vertical="center"/>
    </xf>
    <xf numFmtId="0" fontId="0" fillId="8" borderId="51" xfId="0" applyFill="1" applyBorder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0" fillId="8" borderId="48" xfId="0" applyFill="1" applyBorder="1" applyAlignment="1">
      <alignment horizontal="center" vertical="center"/>
    </xf>
    <xf numFmtId="0" fontId="0" fillId="8" borderId="48" xfId="0" applyFill="1" applyBorder="1" applyAlignment="1">
      <alignment horizontal="left" vertical="center"/>
    </xf>
    <xf numFmtId="0" fontId="0" fillId="0" borderId="50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48" xfId="0" applyBorder="1" applyAlignment="1">
      <alignment horizontal="left" vertical="center" wrapText="1"/>
    </xf>
    <xf numFmtId="0" fontId="0" fillId="8" borderId="0" xfId="0" applyFill="1" applyAlignment="1">
      <alignment horizontal="center" vertical="center"/>
    </xf>
    <xf numFmtId="0" fontId="0" fillId="24" borderId="52" xfId="0" applyFill="1" applyBorder="1" applyAlignment="1">
      <alignment horizontal="center" vertical="center"/>
    </xf>
    <xf numFmtId="0" fontId="0" fillId="8" borderId="52" xfId="0" applyFill="1" applyBorder="1" applyAlignment="1">
      <alignment horizontal="center" vertical="center"/>
    </xf>
    <xf numFmtId="0" fontId="0" fillId="24" borderId="48" xfId="0" applyFill="1" applyBorder="1" applyAlignment="1">
      <alignment horizontal="center" vertical="center"/>
    </xf>
    <xf numFmtId="0" fontId="0" fillId="0" borderId="53" xfId="0" applyBorder="1" applyAlignment="1">
      <alignment horizontal="left" vertical="center" wrapText="1"/>
    </xf>
    <xf numFmtId="17" fontId="16" fillId="32" borderId="0" xfId="0" applyNumberFormat="1" applyFont="1" applyFill="1" applyAlignment="1">
      <alignment horizontal="left" vertical="center"/>
    </xf>
    <xf numFmtId="0" fontId="0" fillId="21" borderId="1" xfId="0" applyFill="1" applyBorder="1" applyAlignment="1">
      <alignment horizontal="left" vertical="center" wrapText="1"/>
    </xf>
    <xf numFmtId="0" fontId="7" fillId="0" borderId="1" xfId="1" applyBorder="1" applyAlignment="1">
      <alignment horizontal="left" vertical="center" wrapText="1"/>
    </xf>
    <xf numFmtId="0" fontId="1" fillId="18" borderId="1" xfId="0" applyFont="1" applyFill="1" applyBorder="1" applyAlignment="1">
      <alignment horizontal="left" vertical="center" wrapText="1"/>
    </xf>
    <xf numFmtId="0" fontId="1" fillId="18" borderId="1" xfId="0" applyFont="1" applyFill="1" applyBorder="1" applyAlignment="1">
      <alignment vertical="center" wrapText="1"/>
    </xf>
    <xf numFmtId="0" fontId="0" fillId="18" borderId="1" xfId="0" applyFill="1" applyBorder="1" applyAlignment="1">
      <alignment horizontal="left" vertical="center" wrapText="1"/>
    </xf>
    <xf numFmtId="0" fontId="0" fillId="18" borderId="1" xfId="0" applyFill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0" fillId="33" borderId="1" xfId="0" applyFill="1" applyBorder="1" applyAlignment="1">
      <alignment horizontal="left" vertical="center" wrapText="1"/>
    </xf>
    <xf numFmtId="0" fontId="0" fillId="33" borderId="5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18" borderId="0" xfId="0" applyFill="1" applyAlignment="1">
      <alignment vertical="center" wrapText="1"/>
    </xf>
    <xf numFmtId="0" fontId="0" fillId="33" borderId="0" xfId="0" applyFill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17" borderId="1" xfId="0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8" borderId="0" xfId="0" applyFill="1" applyAlignment="1">
      <alignment vertical="center"/>
    </xf>
    <xf numFmtId="0" fontId="19" fillId="0" borderId="5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 applyProtection="1">
      <alignment horizontal="left" vertical="center" wrapText="1"/>
    </xf>
    <xf numFmtId="0" fontId="0" fillId="0" borderId="5" xfId="0" applyFill="1" applyBorder="1" applyAlignment="1" applyProtection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9" fillId="0" borderId="5" xfId="0" applyFont="1" applyFill="1" applyBorder="1" applyAlignment="1" applyProtection="1">
      <alignment horizontal="left" vertical="center" wrapText="1"/>
    </xf>
    <xf numFmtId="0" fontId="0" fillId="0" borderId="0" xfId="0" applyAlignment="1"/>
    <xf numFmtId="0" fontId="19" fillId="0" borderId="1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45" xfId="0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19" fillId="0" borderId="6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11" borderId="1" xfId="0" applyFill="1" applyBorder="1" applyAlignment="1">
      <alignment horizontal="left" vertical="center" wrapText="1"/>
    </xf>
    <xf numFmtId="0" fontId="1" fillId="27" borderId="2" xfId="0" applyFont="1" applyFill="1" applyBorder="1" applyAlignment="1">
      <alignment horizontal="center" vertical="center" wrapText="1"/>
    </xf>
    <xf numFmtId="0" fontId="0" fillId="24" borderId="0" xfId="0" applyFill="1" applyBorder="1" applyAlignment="1">
      <alignment horizontal="left" vertical="center" wrapText="1"/>
    </xf>
    <xf numFmtId="0" fontId="0" fillId="24" borderId="0" xfId="0" applyFill="1" applyBorder="1" applyAlignment="1">
      <alignment horizontal="center" vertical="center" wrapText="1"/>
    </xf>
    <xf numFmtId="0" fontId="0" fillId="16" borderId="0" xfId="0" applyFill="1" applyBorder="1" applyAlignment="1">
      <alignment horizontal="left" vertical="center" wrapText="1"/>
    </xf>
    <xf numFmtId="0" fontId="0" fillId="21" borderId="37" xfId="0" applyFill="1" applyBorder="1" applyAlignment="1">
      <alignment horizontal="left" vertical="center" wrapText="1"/>
    </xf>
    <xf numFmtId="0" fontId="0" fillId="21" borderId="0" xfId="0" applyFill="1" applyBorder="1" applyAlignment="1">
      <alignment horizontal="left" vertical="center" wrapText="1"/>
    </xf>
    <xf numFmtId="0" fontId="0" fillId="21" borderId="0" xfId="0" applyFill="1" applyBorder="1" applyAlignment="1">
      <alignment horizontal="center" vertical="center" wrapText="1"/>
    </xf>
    <xf numFmtId="0" fontId="0" fillId="21" borderId="36" xfId="0" applyFill="1" applyBorder="1" applyAlignment="1">
      <alignment horizontal="center" vertical="center" wrapText="1"/>
    </xf>
    <xf numFmtId="9" fontId="0" fillId="24" borderId="6" xfId="2" applyFont="1" applyFill="1" applyBorder="1" applyAlignment="1">
      <alignment horizontal="right" vertical="center" wrapText="1"/>
    </xf>
    <xf numFmtId="9" fontId="0" fillId="24" borderId="36" xfId="2" applyFont="1" applyFill="1" applyBorder="1" applyAlignment="1">
      <alignment horizontal="right" vertical="center" wrapText="1"/>
    </xf>
    <xf numFmtId="9" fontId="0" fillId="24" borderId="3" xfId="2" applyFont="1" applyFill="1" applyBorder="1" applyAlignment="1">
      <alignment horizontal="right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9" fontId="10" fillId="8" borderId="1" xfId="2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9" fontId="16" fillId="8" borderId="1" xfId="2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9" fontId="17" fillId="8" borderId="1" xfId="2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18" fillId="18" borderId="2" xfId="0" applyFont="1" applyFill="1" applyBorder="1" applyAlignment="1">
      <alignment horizontal="center" vertical="center"/>
    </xf>
    <xf numFmtId="0" fontId="10" fillId="9" borderId="23" xfId="0" applyFont="1" applyFill="1" applyBorder="1" applyAlignment="1">
      <alignment horizontal="center" vertical="center"/>
    </xf>
    <xf numFmtId="0" fontId="10" fillId="18" borderId="27" xfId="0" applyFont="1" applyFill="1" applyBorder="1" applyAlignment="1">
      <alignment horizontal="center" vertical="center"/>
    </xf>
    <xf numFmtId="0" fontId="10" fillId="18" borderId="28" xfId="0" applyFont="1" applyFill="1" applyBorder="1" applyAlignment="1">
      <alignment horizontal="center" vertical="center"/>
    </xf>
    <xf numFmtId="0" fontId="10" fillId="18" borderId="29" xfId="0" applyFont="1" applyFill="1" applyBorder="1" applyAlignment="1">
      <alignment horizontal="center" vertical="center"/>
    </xf>
    <xf numFmtId="0" fontId="10" fillId="15" borderId="25" xfId="0" applyFont="1" applyFill="1" applyBorder="1" applyAlignment="1">
      <alignment horizontal="center" vertical="center"/>
    </xf>
    <xf numFmtId="0" fontId="10" fillId="15" borderId="26" xfId="0" applyFont="1" applyFill="1" applyBorder="1" applyAlignment="1">
      <alignment horizontal="center" vertical="center"/>
    </xf>
    <xf numFmtId="0" fontId="10" fillId="15" borderId="30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0" fillId="18" borderId="11" xfId="0" applyFont="1" applyFill="1" applyBorder="1" applyAlignment="1">
      <alignment horizontal="center" vertical="center"/>
    </xf>
    <xf numFmtId="0" fontId="10" fillId="18" borderId="12" xfId="0" applyFont="1" applyFill="1" applyBorder="1" applyAlignment="1">
      <alignment horizontal="center" vertical="center"/>
    </xf>
    <xf numFmtId="0" fontId="10" fillId="18" borderId="9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18" borderId="12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10" fillId="18" borderId="13" xfId="0" applyFont="1" applyFill="1" applyBorder="1" applyAlignment="1">
      <alignment horizontal="center" vertical="center" wrapText="1"/>
    </xf>
    <xf numFmtId="0" fontId="10" fillId="18" borderId="10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1" fillId="12" borderId="9" xfId="0" applyFont="1" applyFill="1" applyBorder="1" applyAlignment="1">
      <alignment horizontal="center" vertical="center"/>
    </xf>
    <xf numFmtId="0" fontId="10" fillId="11" borderId="21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 wrapText="1"/>
    </xf>
    <xf numFmtId="0" fontId="10" fillId="7" borderId="27" xfId="0" applyFont="1" applyFill="1" applyBorder="1" applyAlignment="1">
      <alignment horizontal="center" vertical="center"/>
    </xf>
    <xf numFmtId="0" fontId="10" fillId="7" borderId="28" xfId="0" applyFont="1" applyFill="1" applyBorder="1" applyAlignment="1">
      <alignment horizontal="center" vertical="center"/>
    </xf>
    <xf numFmtId="0" fontId="10" fillId="7" borderId="29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0" fontId="11" fillId="11" borderId="20" xfId="0" applyFont="1" applyFill="1" applyBorder="1" applyAlignment="1">
      <alignment horizontal="center" vertical="center"/>
    </xf>
    <xf numFmtId="0" fontId="11" fillId="11" borderId="2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9" fontId="0" fillId="16" borderId="6" xfId="2" applyFont="1" applyFill="1" applyBorder="1" applyAlignment="1">
      <alignment horizontal="right" vertical="center" wrapText="1"/>
    </xf>
    <xf numFmtId="9" fontId="0" fillId="16" borderId="36" xfId="2" applyFont="1" applyFill="1" applyBorder="1" applyAlignment="1">
      <alignment horizontal="right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0" fillId="16" borderId="15" xfId="0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0" fillId="16" borderId="0" xfId="0" applyFill="1" applyBorder="1" applyAlignment="1">
      <alignment horizontal="center" vertical="center" wrapText="1"/>
    </xf>
    <xf numFmtId="0" fontId="5" fillId="26" borderId="37" xfId="0" applyFont="1" applyFill="1" applyBorder="1" applyAlignment="1">
      <alignment horizontal="center" vertical="center" wrapText="1"/>
    </xf>
    <xf numFmtId="0" fontId="5" fillId="26" borderId="0" xfId="0" applyFont="1" applyFill="1" applyAlignment="1">
      <alignment horizontal="center" vertical="center" wrapText="1"/>
    </xf>
    <xf numFmtId="0" fontId="5" fillId="25" borderId="5" xfId="0" applyFont="1" applyFill="1" applyBorder="1" applyAlignment="1">
      <alignment horizontal="center" vertical="center" wrapText="1"/>
    </xf>
    <xf numFmtId="15" fontId="16" fillId="32" borderId="0" xfId="0" applyNumberFormat="1" applyFont="1" applyFill="1" applyAlignment="1">
      <alignment horizontal="center" vertical="center"/>
    </xf>
    <xf numFmtId="0" fontId="0" fillId="16" borderId="14" xfId="0" applyFill="1" applyBorder="1" applyAlignment="1">
      <alignment horizontal="center" vertical="center" wrapText="1"/>
    </xf>
    <xf numFmtId="9" fontId="0" fillId="16" borderId="6" xfId="2" applyFont="1" applyFill="1" applyBorder="1" applyAlignment="1">
      <alignment horizontal="center" vertical="center" wrapText="1"/>
    </xf>
    <xf numFmtId="9" fontId="0" fillId="16" borderId="36" xfId="2" applyFont="1" applyFill="1" applyBorder="1" applyAlignment="1">
      <alignment horizontal="center" vertical="center" wrapText="1"/>
    </xf>
    <xf numFmtId="9" fontId="0" fillId="16" borderId="3" xfId="2" applyFont="1" applyFill="1" applyBorder="1" applyAlignment="1">
      <alignment horizontal="center" vertical="center" wrapText="1"/>
    </xf>
    <xf numFmtId="0" fontId="3" fillId="8" borderId="15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25" borderId="14" xfId="0" applyFont="1" applyFill="1" applyBorder="1" applyAlignment="1">
      <alignment horizontal="center" vertical="center"/>
    </xf>
  </cellXfs>
  <cellStyles count="3">
    <cellStyle name="Lien hypertexte" xfId="1" builtinId="8"/>
    <cellStyle name="Normal" xfId="0" builtinId="0"/>
    <cellStyle name="Pourcentage" xfId="2" builtinId="5"/>
  </cellStyles>
  <dxfs count="5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  <alignment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auto="1"/>
        </patternFill>
      </fill>
      <alignment horizontal="general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000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0000"/>
      </font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2AF2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9" tint="0.79998168889431442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000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000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000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72AF2F"/>
      <color rgb="FFFFCCFF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18</xdr:col>
      <xdr:colOff>15240</xdr:colOff>
      <xdr:row>37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D12A37-B1F2-E96B-C03B-AF67AE070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40480"/>
          <a:ext cx="10378440" cy="3375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13</xdr:col>
      <xdr:colOff>496745</xdr:colOff>
      <xdr:row>15</xdr:row>
      <xdr:rowOff>57150</xdr:rowOff>
    </xdr:to>
    <xdr:pic>
      <xdr:nvPicPr>
        <xdr:cNvPr id="3" name="Image 54">
          <a:extLst>
            <a:ext uri="{FF2B5EF4-FFF2-40B4-BE49-F238E27FC236}">
              <a16:creationId xmlns:a16="http://schemas.microsoft.com/office/drawing/2014/main" id="{BE9AF332-CB0F-40AD-8D04-0A79F186B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61950"/>
          <a:ext cx="7811945" cy="2409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18</xdr:col>
      <xdr:colOff>0</xdr:colOff>
      <xdr:row>59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4F8C9B-6355-7B2F-2A6D-7D800A185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589520"/>
          <a:ext cx="10363200" cy="3375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62</xdr:row>
      <xdr:rowOff>0</xdr:rowOff>
    </xdr:from>
    <xdr:to>
      <xdr:col>18</xdr:col>
      <xdr:colOff>1</xdr:colOff>
      <xdr:row>82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A8B08C-E756-EBCF-6B29-98E7ABCC0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11363325"/>
          <a:ext cx="10363200" cy="3619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531956</xdr:colOff>
      <xdr:row>2</xdr:row>
      <xdr:rowOff>0</xdr:rowOff>
    </xdr:from>
    <xdr:to>
      <xdr:col>22</xdr:col>
      <xdr:colOff>1</xdr:colOff>
      <xdr:row>15</xdr:row>
      <xdr:rowOff>0</xdr:rowOff>
    </xdr:to>
    <xdr:pic>
      <xdr:nvPicPr>
        <xdr:cNvPr id="2" name="Image 54">
          <a:extLst>
            <a:ext uri="{FF2B5EF4-FFF2-40B4-BE49-F238E27FC236}">
              <a16:creationId xmlns:a16="http://schemas.microsoft.com/office/drawing/2014/main" id="{D678B037-63EC-EE73-C1B1-FB4719A9A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33031" y="381000"/>
          <a:ext cx="7811945" cy="24098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rishna Dixit" id="{E56C5687-8DA5-41A8-A334-A9C410D6CF49}" userId="S::SESA591966@se.com::78bca3de-ec84-47d4-9835-6d1add364855" providerId="AD"/>
  <person displayName="Rohit Khanna" id="{A069E40D-8BA5-4829-A4AF-814F7E51DCCF}" userId="S::sesa791343@se.com::b291ea5f-298b-4766-829c-de0c94cf885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CE6B3E-113D-4D93-ACEC-A541AE535443}" name="Table54" displayName="Table54" ref="A2:AI153" totalsRowShown="0" headerRowDxfId="531" dataDxfId="529" headerRowBorderDxfId="530" tableBorderDxfId="528" totalsRowBorderDxfId="527">
  <autoFilter ref="A2:AI153" xr:uid="{27CE6B3E-113D-4D93-ACEC-A541AE535443}"/>
  <tableColumns count="35">
    <tableColumn id="35" xr3:uid="{A6166107-9D43-4203-A123-096273746BD2}" name="Priority" dataDxfId="526"/>
    <tableColumn id="34" xr3:uid="{6A3C9574-1000-47C6-B882-73537CBA5A3B}" name="Seen on BS" dataDxfId="525"/>
    <tableColumn id="13" xr3:uid="{D81AB8A4-D693-4AB4-AA2E-68A478FE9A66}" name="Fingerprints available" dataDxfId="524"/>
    <tableColumn id="2" xr3:uid="{B2926442-C7BD-45EB-8466-E17DCCA6EB51}" name="Product range " dataDxfId="523"/>
    <tableColumn id="4" xr3:uid="{65CCDF9C-47A4-4527-9925-1B85385CCA7C}" name="Family" dataDxfId="522"/>
    <tableColumn id="3" xr3:uid="{7C2CD6BA-0C47-4D46-BAFB-9091D4BB1A1F}" name="LOB" dataDxfId="521"/>
    <tableColumn id="32" xr3:uid="{FA29CC9D-480E-4899-A872-37F888DD632F}" name="BU" dataDxfId="520"/>
    <tableColumn id="5" xr3:uid="{668C5D8C-DE56-4F99-BD05-C2FBE9531FF7}" name="Type" dataDxfId="519"/>
    <tableColumn id="6" xr3:uid="{709218D4-5414-4652-B716-378E561A4978}" name="EcoStruxure Level " dataDxfId="518"/>
    <tableColumn id="31" xr3:uid="{4B1F6F63-1333-41B9-A6D3-14CE9613847E}" name="State " dataDxfId="517"/>
    <tableColumn id="33" xr3:uid="{B2CDBDDD-F95B-4740-B6AF-32CA6BACB7E8}" name="Notes" dataDxfId="516"/>
    <tableColumn id="7" xr3:uid="{8B1E7562-F246-4751-A86F-09D39592762F}" name="Protocols" dataDxfId="515"/>
    <tableColumn id="8" xr3:uid="{6013C253-D5C2-44BF-9168-54E40DF73E95}" name="BacNet" dataDxfId="514"/>
    <tableColumn id="9" xr3:uid="{2FA8E5E7-7B9A-4271-97C0-D5E28B55DEC7}" name="EIP" dataDxfId="513"/>
    <tableColumn id="10" xr3:uid="{C3538152-F85C-4272-98AF-E560E6747734}" name="FTP" dataDxfId="512"/>
    <tableColumn id="11" xr3:uid="{5BD1B90F-40A7-4F96-B631-D1D6605CA4D5}" name="HTTP/HTTPS" dataDxfId="511"/>
    <tableColumn id="12" xr3:uid="{36406C9D-C964-4D19-A76A-60211602BEC1}" name="KNX" dataDxfId="510"/>
    <tableColumn id="14" xr3:uid="{D9B6C477-F29D-4440-9409-8CFCF3BC8004}" name="mDNS" dataDxfId="509"/>
    <tableColumn id="15" xr3:uid="{E60F98F3-1413-4E12-B575-94F47079F85E}" name="Modbus Series" dataDxfId="508"/>
    <tableColumn id="16" xr3:uid="{DDCD1FA4-B03F-4BF8-AD58-D888318783BB}" name="ModbusTCP" dataDxfId="507"/>
    <tableColumn id="17" xr3:uid="{08F18D23-451B-4F9A-A84D-F8B570A86D1A}" name="SNTP" dataDxfId="506"/>
    <tableColumn id="18" xr3:uid="{57D14C85-4D38-4EB8-B9C5-12C6CC0CD917}" name="SNMP" dataDxfId="505"/>
    <tableColumn id="19" xr3:uid="{FB8BE2DE-27FE-400D-B069-C43F3ED792EE}" name="SQL Server" dataDxfId="504"/>
    <tableColumn id="20" xr3:uid="{590E6B94-A251-4A02-A11D-C418B86EAEC6}" name="Telnet" dataDxfId="503"/>
    <tableColumn id="21" xr3:uid="{31DC4CFF-DE08-4509-BC05-3032220231C5}" name="DNP3" dataDxfId="502"/>
    <tableColumn id="22" xr3:uid="{53BE6659-31A4-4786-A25D-8DFB1DE19BE6}" name="Web" dataDxfId="501"/>
    <tableColumn id="23" xr3:uid="{682DE86C-7C2F-4D8B-905E-71695925D696}" name="SMTP" dataDxfId="500"/>
    <tableColumn id="24" xr3:uid="{5441EED3-9E70-467D-90D1-922465AAF968}" name="SFTP" dataDxfId="499"/>
    <tableColumn id="25" xr3:uid="{1FDFE424-F184-4263-B684-40655270F7F4}" name="3,4G" dataDxfId="498"/>
    <tableColumn id="26" xr3:uid="{F17704CA-FF32-4915-92B0-E4E0048E818D}" name="Wifi , IPV4,6" dataDxfId="497"/>
    <tableColumn id="27" xr3:uid="{DF353217-B200-49D7-98CC-B34F020EA500}" name="IEC 60870-5-103/104/101" dataDxfId="496"/>
    <tableColumn id="28" xr3:uid="{970EC7A6-13E1-4959-98E9-6356AB045D5E}" name="IEC 61850" dataDxfId="495"/>
    <tableColumn id="29" xr3:uid="{4C79CF69-2484-4328-A2DC-A7B7B383FD87}" name="Zigbee" dataDxfId="494"/>
    <tableColumn id="30" xr3:uid="{11327FE2-F718-43BD-94CE-C81F9DDBBCA9}" name="Other" dataDxfId="493"/>
    <tableColumn id="1" xr3:uid="{3D8F5519-1994-45E9-A044-606E3E7ACE0E}" name="Available at GSL B'lore" dataDxfId="49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CB867A5-906B-4466-A0B0-CB67ABD6FAAE}" name="Table32" displayName="Table32" ref="A2:AI172" totalsRowShown="0" headerRowDxfId="491" dataDxfId="489" headerRowBorderDxfId="490" tableBorderDxfId="488" totalsRowBorderDxfId="487">
  <autoFilter ref="A2:AI172" xr:uid="{3CB867A5-906B-4466-A0B0-CB67ABD6FAAE}"/>
  <sortState xmlns:xlrd2="http://schemas.microsoft.com/office/spreadsheetml/2017/richdata2" ref="A3:AI168">
    <sortCondition ref="D2:D172"/>
  </sortState>
  <tableColumns count="35">
    <tableColumn id="35" xr3:uid="{003D9A3A-57A8-471D-A7C5-AECFC92ED6AF}" name="Priority" dataDxfId="486"/>
    <tableColumn id="34" xr3:uid="{F67A9250-74AC-4776-B11C-F38A58E31D3A}" name="Seen on BS" dataDxfId="485"/>
    <tableColumn id="33" xr3:uid="{2901E7C2-464A-4DE4-A8D2-74E9266777F3}" name="Fingerprints available" dataDxfId="484"/>
    <tableColumn id="12" xr3:uid="{7343A049-43F1-483D-A3AD-6A08F0750EE4}" name="Product range" dataDxfId="483"/>
    <tableColumn id="32" xr3:uid="{F23BDD2B-35C8-4D36-AEB8-B1483F2CABD6}" name="Family" dataDxfId="482"/>
    <tableColumn id="9" xr3:uid="{A4914EA3-9BE6-4C0F-BC42-0DFE922A6215}" name="LOB" dataDxfId="481"/>
    <tableColumn id="2" xr3:uid="{A7CC47D5-C909-46A2-AD71-B0C610EB174F}" name="BU" dataDxfId="480"/>
    <tableColumn id="30" xr3:uid="{0A6D55B1-22AA-4B5C-81DB-CCE18C40C269}" name="Type" dataDxfId="479"/>
    <tableColumn id="11" xr3:uid="{79F3F5DA-F908-436A-9F39-73A194ACC4C7}" name="EcoStruxure Level " dataDxfId="478"/>
    <tableColumn id="31" xr3:uid="{440449DB-97C4-47B1-B68F-FDB604B8D2C9}" name="State" dataDxfId="477"/>
    <tableColumn id="1" xr3:uid="{ABC6B710-6FE4-4644-AE34-7B6E212BE0EE}" name="Notes" dataDxfId="476"/>
    <tableColumn id="3" xr3:uid="{04BD9446-6BEC-4A82-96C3-B8F419AB966E}" name="Protocols" dataDxfId="475"/>
    <tableColumn id="4" xr3:uid="{E07299FC-F60C-4F32-A28F-745DA748FB25}" name="BacNet" dataDxfId="474"/>
    <tableColumn id="10" xr3:uid="{84D75703-96D4-4E43-80DF-1F10A138EA0A}" name="EIP" dataDxfId="473"/>
    <tableColumn id="5" xr3:uid="{A1102481-F775-4142-A6E9-2DC79D4A865B}" name="FTP" dataDxfId="472"/>
    <tableColumn id="6" xr3:uid="{01961FCD-1A96-42CF-9594-BBC5AF2B0362}" name="HTTP/HTTPS" dataDxfId="471"/>
    <tableColumn id="7" xr3:uid="{D38F0E09-C156-4BEC-82B2-69465AC07A4C}" name="KNX" dataDxfId="470"/>
    <tableColumn id="14" xr3:uid="{ECEFEC6C-3561-458A-A160-455C06F6613F}" name="mDNS" dataDxfId="469"/>
    <tableColumn id="15" xr3:uid="{D306AE74-20C3-410B-9B6F-13C8FCF3E1B7}" name="Modbus Series" dataDxfId="468"/>
    <tableColumn id="16" xr3:uid="{5B3D7F59-AB94-4771-BDE9-7C7120DD9795}" name="ModbusTCP" dataDxfId="467"/>
    <tableColumn id="27" xr3:uid="{0CE75AC2-F0BB-4C64-8AC3-F0BCE62E2089}" name="SNTP" dataDxfId="466"/>
    <tableColumn id="17" xr3:uid="{65F85B16-C3F9-4BE0-803C-90F078C92D25}" name="SNMP" dataDxfId="465"/>
    <tableColumn id="18" xr3:uid="{110D1246-C1AB-4B74-8121-5634EB97A08D}" name="SQL Server" dataDxfId="464"/>
    <tableColumn id="19" xr3:uid="{90DC2746-E318-4037-906E-AB1292C75C5B}" name="Telnet" dataDxfId="463"/>
    <tableColumn id="21" xr3:uid="{E493A8C2-0E72-4903-8261-F5CEB9114E63}" name="DNP3" dataDxfId="462"/>
    <tableColumn id="20" xr3:uid="{9DF34969-FFAD-497E-A5FB-89AF07B489DF}" name="Web" dataDxfId="461"/>
    <tableColumn id="28" xr3:uid="{490FB659-91B5-419A-8469-188C7DF1C8B8}" name="SMTP" dataDxfId="460"/>
    <tableColumn id="22" xr3:uid="{C1F3E0F8-4D3B-484B-8285-296A4D6653A9}" name="SFTP" dataDxfId="459"/>
    <tableColumn id="23" xr3:uid="{3ECADF4A-5995-4429-8AEB-B21ECF57F366}" name="3,4G" dataDxfId="458"/>
    <tableColumn id="24" xr3:uid="{C761791C-E8A4-43DA-AD1F-FED3D656135A}" name="Wifi , IPV4,6" dataDxfId="457"/>
    <tableColumn id="25" xr3:uid="{25F0450C-6B6E-40E2-8AD6-DDC510794071}" name="IEC 60870-5-103/104/101" dataDxfId="456"/>
    <tableColumn id="26" xr3:uid="{C067CCFA-44A2-474F-824B-4F2B4A59FF27}" name="IEC 61850" dataDxfId="455"/>
    <tableColumn id="13" xr3:uid="{150A2099-C8FC-439C-A73A-21F0F878A534}" name="Zigbee" dataDxfId="454"/>
    <tableColumn id="29" xr3:uid="{D99FDD84-FE0B-4B0F-AE9B-E30F1CAF96E0}" name="Bluetooth" dataDxfId="453"/>
    <tableColumn id="8" xr3:uid="{0F3298F5-FD63-422D-A193-8B25501F9A08}" name="Available at GSL B'lore" dataDxfId="452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38D024-F3E3-40C8-803D-52F35B648C97}" name="Table327" displayName="Table327" ref="A2:AI17" totalsRowShown="0" headerRowDxfId="451" dataDxfId="449" headerRowBorderDxfId="450" tableBorderDxfId="448" totalsRowBorderDxfId="447">
  <autoFilter ref="A2:AI17" xr:uid="{3CB867A5-906B-4466-A0B0-CB67ABD6FAAE}"/>
  <sortState xmlns:xlrd2="http://schemas.microsoft.com/office/spreadsheetml/2017/richdata2" ref="A3:AI16">
    <sortCondition ref="D2:D17"/>
  </sortState>
  <tableColumns count="35">
    <tableColumn id="35" xr3:uid="{53F54063-B0DE-4CC2-838A-AF3F221AA82E}" name="Priority" dataDxfId="446"/>
    <tableColumn id="34" xr3:uid="{C3E45D65-0335-42D0-A843-B733650CBD09}" name="Seen on BS" dataDxfId="445"/>
    <tableColumn id="33" xr3:uid="{921BAAF8-6633-49EF-A0FE-454858663D70}" name="Fingerprints available" dataDxfId="444"/>
    <tableColumn id="12" xr3:uid="{F4C148EF-B8F8-4C34-A4EE-939644B5FE9A}" name="Product range" dataDxfId="443"/>
    <tableColumn id="32" xr3:uid="{A3815C52-500E-4EE5-838A-CC4114150DA5}" name="Family" dataDxfId="442"/>
    <tableColumn id="9" xr3:uid="{5CD550C7-9C72-41B8-BE7B-8C4A490D12BB}" name="LOB" dataDxfId="441"/>
    <tableColumn id="2" xr3:uid="{3F6EE895-B7BB-40B4-8131-73D2CB5EC6CC}" name="BU" dataDxfId="440"/>
    <tableColumn id="30" xr3:uid="{D399F7CE-B217-430D-8D97-9F14DC37021C}" name="Type" dataDxfId="439"/>
    <tableColumn id="11" xr3:uid="{BFBDEAEF-FEB9-4181-9443-715C25757CD7}" name="EcoStruxure Level " dataDxfId="438"/>
    <tableColumn id="31" xr3:uid="{6FB810DF-7400-4D96-BCBC-8FB882053D01}" name="State" dataDxfId="437"/>
    <tableColumn id="1" xr3:uid="{92C18180-4C6B-4768-9507-9DA7533188AE}" name="Notes" dataDxfId="436"/>
    <tableColumn id="3" xr3:uid="{7A91F477-D761-4E16-BD27-9C00E75C0B91}" name="Protocols" dataDxfId="435"/>
    <tableColumn id="4" xr3:uid="{420ABDD3-0FD7-40FA-88E2-9167A7443ADC}" name="BacNet" dataDxfId="434"/>
    <tableColumn id="10" xr3:uid="{AF90D5FC-2F45-456D-B05E-477B8D9B8AE4}" name="EIP" dataDxfId="433"/>
    <tableColumn id="5" xr3:uid="{1512546F-EB7E-475A-AAB5-16F7E9F0000D}" name="FTP" dataDxfId="432"/>
    <tableColumn id="6" xr3:uid="{D0A9B86E-C597-4B90-9126-D8032CDFD8DB}" name="HTTP/HTTPS" dataDxfId="431"/>
    <tableColumn id="7" xr3:uid="{827164C9-B021-49DD-8697-C9B6C4FAF3E7}" name="KNX" dataDxfId="430"/>
    <tableColumn id="14" xr3:uid="{9A1BCA42-C0E4-47BB-8433-3A8CC61E93F0}" name="mDNS" dataDxfId="429"/>
    <tableColumn id="15" xr3:uid="{BDCC3B54-F50D-4CEE-8A0C-461C7B491B8F}" name="Modbus Series" dataDxfId="428"/>
    <tableColumn id="16" xr3:uid="{E2061BEC-0E23-4BCC-B439-39C7FD4EEE94}" name="ModbusTCP" dataDxfId="427"/>
    <tableColumn id="27" xr3:uid="{C09B4C9E-BBF7-4D8E-A61A-D058FBBB56D1}" name="SNTP" dataDxfId="426"/>
    <tableColumn id="17" xr3:uid="{3B89E91C-79D0-4404-A597-87A49C4C1F2C}" name="SNMP" dataDxfId="425"/>
    <tableColumn id="18" xr3:uid="{2A9E1307-4C43-41A6-8775-E9E327AFC5CF}" name="SQL Server" dataDxfId="424"/>
    <tableColumn id="19" xr3:uid="{7F1CF20C-8F2D-4CCE-A16B-6396090D4E6E}" name="Telnet" dataDxfId="423"/>
    <tableColumn id="21" xr3:uid="{487567D1-C0B3-4EAB-94B9-05B999953DE0}" name="DNP3" dataDxfId="422"/>
    <tableColumn id="20" xr3:uid="{473D2787-9265-4C6D-AEED-B26A912A13FD}" name="Web" dataDxfId="421"/>
    <tableColumn id="28" xr3:uid="{3D07C816-3B23-4959-9516-00C54F82B38A}" name="SMTP" dataDxfId="420"/>
    <tableColumn id="22" xr3:uid="{6C27DC5D-6524-48EE-A839-30BFE86F1EAF}" name="SFTP" dataDxfId="419"/>
    <tableColumn id="23" xr3:uid="{A5D23412-803B-435F-8A22-7D0C531A9420}" name="3,4G" dataDxfId="418"/>
    <tableColumn id="24" xr3:uid="{D08AFCE3-9D7F-439B-AAD4-791C3CB38F7E}" name="Wifi , IPV4,6" dataDxfId="417"/>
    <tableColumn id="25" xr3:uid="{6172583F-B050-4473-A0E6-19C8E9F9D647}" name="IEC 60870-5-103/104/101" dataDxfId="416"/>
    <tableColumn id="26" xr3:uid="{0B2879D3-E122-46AB-B970-9A9ED318AD48}" name="IEC 61850" dataDxfId="415"/>
    <tableColumn id="13" xr3:uid="{C69CD6D4-CA8A-4517-B31B-D7C012D07123}" name="Zigbee" dataDxfId="414"/>
    <tableColumn id="29" xr3:uid="{DB535517-DFE2-40CB-AB0D-FEA9373184E3}" name="Bluetooth" dataDxfId="413"/>
    <tableColumn id="8" xr3:uid="{2B0462AE-B6C4-4187-AED6-98E9262446A2}" name="Available at GSL B'lore" dataDxfId="412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C78145-15BF-400E-9BAF-21A588BBF299}" name="Table3279" displayName="Table3279" ref="A2:AI34" totalsRowShown="0" headerRowDxfId="411" dataDxfId="409" headerRowBorderDxfId="410" tableBorderDxfId="408" totalsRowBorderDxfId="407">
  <autoFilter ref="A2:AI34" xr:uid="{3CB867A5-906B-4466-A0B0-CB67ABD6FAAE}"/>
  <sortState xmlns:xlrd2="http://schemas.microsoft.com/office/spreadsheetml/2017/richdata2" ref="A3:AI34">
    <sortCondition ref="D2:D34"/>
  </sortState>
  <tableColumns count="35">
    <tableColumn id="35" xr3:uid="{78A1D95B-5C36-47FA-9F4E-4386F2918335}" name="Priority" dataDxfId="406"/>
    <tableColumn id="34" xr3:uid="{F9709880-87EB-4BCB-97A9-FF8DCAEE7B47}" name="Seen on BS" dataDxfId="405"/>
    <tableColumn id="33" xr3:uid="{0AF46BE9-B627-42A6-A0CE-8E18D69A6C3C}" name="Fingerprints available" dataDxfId="404"/>
    <tableColumn id="12" xr3:uid="{3F4AF069-CBBE-422F-A202-DC1A65F56441}" name="Product range" dataDxfId="403"/>
    <tableColumn id="32" xr3:uid="{05F9ACEB-7D4A-4779-A99B-0AF1BC8DFC07}" name="Family" dataDxfId="402"/>
    <tableColumn id="9" xr3:uid="{6C9DF987-03B4-490B-A0BF-6DCD035023E0}" name="LOB" dataDxfId="401"/>
    <tableColumn id="2" xr3:uid="{ACC28424-069A-4FA0-90A0-71C064231368}" name="BU" dataDxfId="400"/>
    <tableColumn id="30" xr3:uid="{118F2180-F282-4301-BBE6-0C17A7C02A87}" name="Type" dataDxfId="399"/>
    <tableColumn id="11" xr3:uid="{9EA64D34-7F77-430D-9F61-2AA6D0C6507D}" name="EcoStruxure Level " dataDxfId="398"/>
    <tableColumn id="31" xr3:uid="{3B416BB9-144D-4201-BDBB-387FB046BE4F}" name="State" dataDxfId="397"/>
    <tableColumn id="1" xr3:uid="{C3263ADA-5CB4-4407-8315-925F267690EB}" name="Notes" dataDxfId="396"/>
    <tableColumn id="3" xr3:uid="{8E710B2E-2550-468C-81A9-C4E73455E536}" name="Protocols" dataDxfId="395"/>
    <tableColumn id="4" xr3:uid="{7F673AF5-6E1E-4DEE-82D1-463E5925F552}" name="BacNet" dataDxfId="394"/>
    <tableColumn id="10" xr3:uid="{6926A33E-768D-434A-BF71-7D665F241A33}" name="EIP" dataDxfId="393"/>
    <tableColumn id="5" xr3:uid="{E89BD1A3-7828-4165-824D-0BC7A781D373}" name="FTP" dataDxfId="392"/>
    <tableColumn id="6" xr3:uid="{495669A0-D767-4CEF-B97F-E9360CB06F91}" name="HTTP/HTTPS" dataDxfId="391"/>
    <tableColumn id="7" xr3:uid="{3CC90027-A74B-4DD6-8423-9B9A2E94427D}" name="KNX" dataDxfId="390"/>
    <tableColumn id="14" xr3:uid="{3BD5ED3F-5B41-4DFA-89B0-A7AB3165D992}" name="mDNS" dataDxfId="389"/>
    <tableColumn id="15" xr3:uid="{F8FB6411-0468-4341-84E4-6A6E6CF2FE58}" name="Modbus Series" dataDxfId="388"/>
    <tableColumn id="16" xr3:uid="{1CB03CFF-556C-4A0A-BC5D-8236C7BAD35A}" name="ModbusTCP" dataDxfId="387"/>
    <tableColumn id="27" xr3:uid="{4CDC6B61-A84D-454F-A1BC-7447F22B22B2}" name="SNTP" dataDxfId="386"/>
    <tableColumn id="17" xr3:uid="{B7019D06-9857-4618-B10D-3CB6002D119C}" name="SNMP" dataDxfId="385"/>
    <tableColumn id="18" xr3:uid="{055B87F4-6324-48BA-8687-F9862291DD64}" name="SQL Server" dataDxfId="384"/>
    <tableColumn id="19" xr3:uid="{27BF200F-181B-4C68-B4B8-3EF0C35EC2D4}" name="Telnet" dataDxfId="383"/>
    <tableColumn id="21" xr3:uid="{50139B7F-B329-4841-B3D0-24E9E22AED25}" name="DNP3" dataDxfId="382"/>
    <tableColumn id="20" xr3:uid="{A3DFAE4F-2188-4644-8E8A-6A75A38E02A6}" name="Web" dataDxfId="381"/>
    <tableColumn id="28" xr3:uid="{ED64D500-9CED-4D32-9624-E6C209C495C3}" name="SMTP" dataDxfId="380"/>
    <tableColumn id="22" xr3:uid="{29205077-E0D3-4BF3-B806-738D1E85FC87}" name="SFTP" dataDxfId="379"/>
    <tableColumn id="23" xr3:uid="{80C2642F-8C18-42AF-9455-EB0EFEE09A0F}" name="3,4G" dataDxfId="378"/>
    <tableColumn id="24" xr3:uid="{01E800B5-28F4-47D8-B37D-C05752606263}" name="Wifi , IPV4,6" dataDxfId="377"/>
    <tableColumn id="25" xr3:uid="{77A9A835-8F67-4895-9BA1-EC972822BB4D}" name="IEC 60870-5-103/104/101" dataDxfId="376"/>
    <tableColumn id="26" xr3:uid="{E1239631-D58D-45E2-892C-4217A6D9244F}" name="IEC 61850" dataDxfId="375"/>
    <tableColumn id="13" xr3:uid="{DE416CC7-0B9D-403F-9413-DE27C7D71238}" name="Zigbee" dataDxfId="374"/>
    <tableColumn id="29" xr3:uid="{70B780B7-45A5-4118-87AA-AC3CF336705D}" name="Bluetooth" dataDxfId="373"/>
    <tableColumn id="8" xr3:uid="{C667F116-72E1-41BD-8DB4-CDEF0A5AE1B6}" name="Available at GSL B'lore" dataDxfId="372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6C4EDEB-5176-4DE7-8805-E1DC2AFC9BA1}" name="Table329" displayName="Table329" ref="A2:AJ24" totalsRowShown="0" headerRowDxfId="371" dataDxfId="369" headerRowBorderDxfId="370" tableBorderDxfId="368" totalsRowBorderDxfId="367">
  <autoFilter ref="A2:AJ24" xr:uid="{D6C4EDEB-5176-4DE7-8805-E1DC2AFC9BA1}"/>
  <tableColumns count="36">
    <tableColumn id="35" xr3:uid="{5A5A96FD-8E6F-4055-96F1-46016DF48375}" name="Extra" dataDxfId="366"/>
    <tableColumn id="36" xr3:uid="{D5FB023C-E1BC-4D94-BFC4-2C2DD15C5214}" name="Commonality" dataDxfId="365"/>
    <tableColumn id="33" xr3:uid="{ECE91B54-BA29-4E74-A5C1-5BE5CB78C728}" name="Seen on BS" dataDxfId="364"/>
    <tableColumn id="8" xr3:uid="{9B22F2C8-5F6E-4C3A-BF02-F66F98BE38FF}" name="Fingerprints available" dataDxfId="363"/>
    <tableColumn id="12" xr3:uid="{7DA18DBD-E9E2-4D9B-B4A4-D14AEA0333D4}" name="Product range " dataDxfId="362"/>
    <tableColumn id="1" xr3:uid="{58E23C38-4582-4083-9AE8-1A8D06CAEF76}" name="Family" dataDxfId="361"/>
    <tableColumn id="9" xr3:uid="{5198428B-F07C-4BA1-BF39-F3A2A411842D}" name="LOB" dataDxfId="360"/>
    <tableColumn id="2" xr3:uid="{978992BB-F679-4794-90CA-08851608C78B}" name="BU" dataDxfId="359"/>
    <tableColumn id="30" xr3:uid="{EC512EBC-9DE9-45BE-9E86-7C95D1A3DDD1}" name="Type" dataDxfId="358"/>
    <tableColumn id="11" xr3:uid="{0B5122DB-8787-4DBA-B900-6B827702DC38}" name="EcoStruxure Level " dataDxfId="357"/>
    <tableColumn id="31" xr3:uid="{83E01A4E-E6BC-4866-8C6A-C971FEF77EAF}" name="State" dataDxfId="356"/>
    <tableColumn id="32" xr3:uid="{5387FE5A-B978-4DC6-B018-DFD942B67495}" name="Notes" dataDxfId="355"/>
    <tableColumn id="3" xr3:uid="{3B44E5E7-B590-4E00-837F-8C9C627493A6}" name="Protocols" dataDxfId="354"/>
    <tableColumn id="34" xr3:uid="{7EAF6707-1961-47FF-A3A0-2F53701EF8B3}" name="Serial Only" dataDxfId="353"/>
    <tableColumn id="4" xr3:uid="{34B66DB6-338D-481A-B64F-6FFC368835D1}" name="BacNet" dataDxfId="352"/>
    <tableColumn id="10" xr3:uid="{EA6E1894-C170-402C-A7E2-C23520F2FD4A}" name="EIP" dataDxfId="351"/>
    <tableColumn id="5" xr3:uid="{FED34EC9-543D-45A6-8243-2C65DD0BE367}" name="FTP" dataDxfId="350"/>
    <tableColumn id="6" xr3:uid="{300EB6CA-8311-4CDA-A467-3BDEDC399812}" name="HTTP/ HTTPS" dataDxfId="349"/>
    <tableColumn id="7" xr3:uid="{873DC265-7C50-4189-B4B1-B8F99635D7E7}" name="KNX" dataDxfId="348"/>
    <tableColumn id="14" xr3:uid="{E051BCAD-FB9E-4BB4-8CD9-F1BA6B19AD4F}" name="mDNS" dataDxfId="347"/>
    <tableColumn id="15" xr3:uid="{D1E49846-8926-4B05-8D7B-457BFA47CA50}" name="Modbus Series" dataDxfId="346"/>
    <tableColumn id="16" xr3:uid="{A72ED27E-691A-43D1-A7D9-344508F8D03C}" name="Modbus TCP" dataDxfId="345"/>
    <tableColumn id="27" xr3:uid="{86FC0155-E515-489E-B9AA-D0A6BFBBF1AF}" name="SNTP" dataDxfId="344"/>
    <tableColumn id="17" xr3:uid="{0C073AB4-9EAE-481F-A08B-3BDB5AE506C6}" name="SNMP" dataDxfId="343"/>
    <tableColumn id="18" xr3:uid="{782DA345-B1E3-4C12-8DC6-CF0E1A0BE040}" name="SQL Server" dataDxfId="342"/>
    <tableColumn id="19" xr3:uid="{628318EC-C433-4367-8CA8-0AC0FB96BD9F}" name="Telnet" dataDxfId="341"/>
    <tableColumn id="21" xr3:uid="{E08237DA-B3AE-466D-AD49-5A5E6EE3353A}" name="DNP3" dataDxfId="340"/>
    <tableColumn id="20" xr3:uid="{5ABFCC76-A5B2-4248-8507-4B149C15201A}" name="Web" dataDxfId="339"/>
    <tableColumn id="28" xr3:uid="{0656BD3A-1DC1-4688-ACC7-9E21B7B8649F}" name="SMTP" dataDxfId="338"/>
    <tableColumn id="22" xr3:uid="{5782B1C4-0E1E-4AFA-A90B-520A827685FE}" name="SFTP" dataDxfId="337"/>
    <tableColumn id="23" xr3:uid="{7C5EE8BF-22C4-4B50-BFEA-7E8F4564CAF7}" name="3,4G" dataDxfId="336"/>
    <tableColumn id="24" xr3:uid="{202BECE9-CB38-4409-AA5B-E56D167648F9}" name="WiFi, IPV4, IPv6" dataDxfId="335"/>
    <tableColumn id="25" xr3:uid="{34D1CDB6-5388-4B89-BE76-52D74F842504}" name="IEC 60870-5-103/104/101" dataDxfId="334"/>
    <tableColumn id="26" xr3:uid="{97271B04-B706-4E1D-962B-933E1471A0B5}" name="IEC 61850" dataDxfId="333"/>
    <tableColumn id="13" xr3:uid="{FB9645E5-D95E-4C26-AFA5-9818B9DFE3D0}" name="Zigbee" dataDxfId="332"/>
    <tableColumn id="29" xr3:uid="{4DFBB095-3D07-4BBD-B8E7-820C2981169F}" name="Column1" dataDxfId="331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924A153-7CEA-4A88-9947-0F23BC8D9078}" name="Table54810" displayName="Table54810" ref="A2:AI26" totalsRowShown="0" headerRowDxfId="330" dataDxfId="328" headerRowBorderDxfId="329" tableBorderDxfId="327" totalsRowBorderDxfId="326">
  <autoFilter ref="A2:AI26" xr:uid="{F540BDFF-E0DD-44DC-B623-8CE4ECD4FA6E}"/>
  <tableColumns count="35">
    <tableColumn id="35" xr3:uid="{58E78962-6F93-49AD-BD96-2C51F6C996C4}" name="Seen on BS" dataDxfId="325"/>
    <tableColumn id="13" xr3:uid="{E18D763C-AF1C-429D-B808-7BBFA195936F}" name="Fingerprints available" dataDxfId="324"/>
    <tableColumn id="1" xr3:uid="{6F7C109C-FD03-4DD8-9771-098C267F3CE4}" name="NMC" dataDxfId="323"/>
    <tableColumn id="34" xr3:uid="{921547B0-64E4-4EB7-ACDC-1CAB12CB3FA9}" name="SP LOB" dataDxfId="322"/>
    <tableColumn id="2" xr3:uid="{7C6ACD32-BFB2-4A3B-B44E-03F8EFA85DAF}" name="Product range" dataDxfId="321"/>
    <tableColumn id="32" xr3:uid="{052F88D5-2473-463D-BB78-BFC3AF54BD80}" name="Family" dataDxfId="320"/>
    <tableColumn id="3" xr3:uid="{F0C48D93-4FCF-42BE-9AB4-E1A09B9D180F}" name="LOB" dataDxfId="319"/>
    <tableColumn id="4" xr3:uid="{4D531B0F-114D-4F75-AACB-798728B0A31C}" name="BU" dataDxfId="318"/>
    <tableColumn id="5" xr3:uid="{D9125305-5336-4437-9190-0C2E6FCA8F61}" name="Type" dataDxfId="317"/>
    <tableColumn id="6" xr3:uid="{4E49D0CC-A74C-497C-9726-1D678796350E}" name="EcoStruxuretruxure Level " dataDxfId="316"/>
    <tableColumn id="31" xr3:uid="{A8082552-987C-4425-944F-3FF5FB80698E}" name="State " dataDxfId="315"/>
    <tableColumn id="33" xr3:uid="{EEE042B7-1178-459D-A162-3339201178FF}" name="Notes" dataDxfId="314"/>
    <tableColumn id="7" xr3:uid="{BEBFB9B8-7C1E-4F2D-8620-367D8E20219C}" name="Protocols" dataDxfId="313"/>
    <tableColumn id="8" xr3:uid="{8D41BA3B-EEFD-42DB-A87E-981EDEF824E5}" name="BacNet" dataDxfId="312"/>
    <tableColumn id="9" xr3:uid="{E4874662-38F4-4067-BF93-D7514048CA15}" name="EIP" dataDxfId="311"/>
    <tableColumn id="10" xr3:uid="{36FD8199-CAA5-4AF0-BD65-743FABC27C94}" name="FTP" dataDxfId="310"/>
    <tableColumn id="11" xr3:uid="{D5F516DC-ED9A-4962-AF3C-54693CC4E250}" name="HTTP/HTTPS" dataDxfId="309"/>
    <tableColumn id="12" xr3:uid="{72F2551B-1EEE-42A6-8240-78298F72076E}" name="KNX" dataDxfId="308"/>
    <tableColumn id="14" xr3:uid="{0D82B1D6-2E87-4C49-A7FB-5BAFE075A03C}" name="mDNS" dataDxfId="307"/>
    <tableColumn id="15" xr3:uid="{E4A9373F-1C57-47E9-8066-DCFA822DAA6A}" name="Modbus Series" dataDxfId="306"/>
    <tableColumn id="16" xr3:uid="{93910C02-8528-46C6-8443-7FD9C4C213D7}" name="ModbusTCP" dataDxfId="305"/>
    <tableColumn id="17" xr3:uid="{AC6DF2BF-66C0-4261-BB2B-19EF05C5478D}" name="SNTP" dataDxfId="304"/>
    <tableColumn id="18" xr3:uid="{935D3170-0421-4D56-BF71-19D5EB367E9B}" name="SNMP" dataDxfId="303"/>
    <tableColumn id="19" xr3:uid="{27BDDD33-C4B9-444E-9DE4-0FD169B7C5CD}" name="SQL Server" dataDxfId="302"/>
    <tableColumn id="20" xr3:uid="{E28E3473-5224-46D4-AC3E-5DA015EB3F8C}" name="Telnet" dataDxfId="301"/>
    <tableColumn id="21" xr3:uid="{86F4E3F4-1DFD-40E2-A58A-DD52F39A0658}" name="DNP3" dataDxfId="300"/>
    <tableColumn id="22" xr3:uid="{EDBE5132-CB2D-4BF0-AF2C-75523D0DFB66}" name="Web" dataDxfId="299"/>
    <tableColumn id="23" xr3:uid="{ABB0EC5F-014E-40FB-A7C9-402105C480C8}" name="SMTP" dataDxfId="298"/>
    <tableColumn id="24" xr3:uid="{5735D93A-8007-4B18-B657-26DDE06A2AF4}" name="SFTP" dataDxfId="297"/>
    <tableColumn id="25" xr3:uid="{C423FD69-DEE0-43F3-B034-02021954EBDF}" name="3,4G" dataDxfId="296"/>
    <tableColumn id="26" xr3:uid="{1ECA489D-47A1-42A5-AED6-CF83A8AE7543}" name="Wifi , IPV4,6" dataDxfId="295"/>
    <tableColumn id="27" xr3:uid="{20421FE6-0E6C-4417-87D4-10421BC9EE86}" name="IEC 60870-5-103/104/101" dataDxfId="294"/>
    <tableColumn id="28" xr3:uid="{622FFA7D-2EF8-4423-AFED-65BC7C0CF12D}" name="IEC 61850" dataDxfId="293"/>
    <tableColumn id="29" xr3:uid="{D7C14E36-159F-4C08-8733-1BC4D12C84C6}" name="Zigbee" dataDxfId="292"/>
    <tableColumn id="30" xr3:uid="{1F0829F9-B476-4C89-87DA-543DED623E67}" name="Other" dataDxfId="29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540BDFF-E0DD-44DC-B623-8CE4ECD4FA6E}" name="Table548" displayName="Table548" ref="A2:AI95" totalsRowShown="0" headerRowDxfId="290" dataDxfId="288" headerRowBorderDxfId="289" tableBorderDxfId="287" totalsRowBorderDxfId="286">
  <autoFilter ref="A2:AI95" xr:uid="{F540BDFF-E0DD-44DC-B623-8CE4ECD4FA6E}"/>
  <tableColumns count="35">
    <tableColumn id="35" xr3:uid="{23332E77-1060-4F6D-9BE1-DE4B266545D1}" name="Seen on BS" dataDxfId="285"/>
    <tableColumn id="13" xr3:uid="{97A1965E-BE7D-4A76-A537-2B9D5401008A}" name="Fingerprints available" dataDxfId="284"/>
    <tableColumn id="1" xr3:uid="{558C0EB1-B8B7-4482-8B5D-80F1F251370F}" name="NMC" dataDxfId="283"/>
    <tableColumn id="34" xr3:uid="{FC4C1FD8-6F4C-49E5-A277-92C63FF6BE49}" name="Column1" dataDxfId="282"/>
    <tableColumn id="2" xr3:uid="{1293E091-C196-4A70-A00F-D01B3D15571C}" name="Product range" dataDxfId="281"/>
    <tableColumn id="32" xr3:uid="{E8597EC0-147B-4DB7-BB78-234BC94FAA0F}" name="Family" dataDxfId="280"/>
    <tableColumn id="3" xr3:uid="{1B6111F4-22C3-4643-A618-4486E19CD586}" name="LOB" dataDxfId="279"/>
    <tableColumn id="4" xr3:uid="{F3DDB28C-568B-4D31-B1B4-A6F55904A389}" name="BU" dataDxfId="278"/>
    <tableColumn id="5" xr3:uid="{49FF62F3-60A7-4457-8B17-932BA6164135}" name="Type" dataDxfId="277"/>
    <tableColumn id="6" xr3:uid="{C75068AE-42FA-470F-A959-D3248F5B2382}" name="EcoStruxuretruxure Level " dataDxfId="276"/>
    <tableColumn id="31" xr3:uid="{989132BB-D0AA-4E9E-95E7-9F7E426DD120}" name="State " dataDxfId="275"/>
    <tableColumn id="33" xr3:uid="{869B9A11-920F-43FC-B175-E12736E131B9}" name="Notes" dataDxfId="274"/>
    <tableColumn id="7" xr3:uid="{E2E3D693-466A-4DB8-867A-767EBE66130E}" name="Protocols" dataDxfId="273"/>
    <tableColumn id="8" xr3:uid="{5A9E5603-208B-4B06-9B57-3279F8B7477E}" name="BacNet" dataDxfId="272"/>
    <tableColumn id="9" xr3:uid="{7EE9E066-5A69-4E06-A251-0CA17BA4A321}" name="EIP" dataDxfId="271"/>
    <tableColumn id="10" xr3:uid="{20B14432-7E56-49C0-8A7F-B897D912B312}" name="FTP" dataDxfId="270"/>
    <tableColumn id="11" xr3:uid="{5F24329B-DF69-45A3-B23A-051F7019434E}" name="HTTP/HTTPS" dataDxfId="269"/>
    <tableColumn id="12" xr3:uid="{7D288EF1-43FB-4E14-8C1A-1F29A6932FBF}" name="KNX" dataDxfId="268"/>
    <tableColumn id="14" xr3:uid="{595AC0DD-F7FD-488D-A6FF-8164EE0ABC26}" name="mDNS" dataDxfId="267"/>
    <tableColumn id="15" xr3:uid="{CFB94AF7-CC4B-4669-9F7A-C6D0EBB18CD2}" name="Modbus Series" dataDxfId="266"/>
    <tableColumn id="16" xr3:uid="{584414FD-D6FD-4EBB-82C1-A2B96956566D}" name="ModbusTCP" dataDxfId="265"/>
    <tableColumn id="17" xr3:uid="{385ED82F-AE5A-4D41-93BE-0A1BE46870AA}" name="SNTP" dataDxfId="264"/>
    <tableColumn id="18" xr3:uid="{80D0B2FA-B533-4230-82F4-EDD59723CC50}" name="SNMP" dataDxfId="263"/>
    <tableColumn id="19" xr3:uid="{54ECD2B8-7B8D-4CDD-9195-2C9450D5D515}" name="SQL Server" dataDxfId="262"/>
    <tableColumn id="20" xr3:uid="{DFF1CD60-974E-46AB-A9E4-04601682D7BA}" name="Telnet" dataDxfId="261"/>
    <tableColumn id="21" xr3:uid="{37FB94A4-113F-4F86-BC8F-666D5D338F23}" name="DNP3" dataDxfId="260"/>
    <tableColumn id="22" xr3:uid="{C9E5917D-F586-4C02-B514-0154B5ECBFC5}" name="Web" dataDxfId="259"/>
    <tableColumn id="23" xr3:uid="{78BF46D9-9672-4EF9-AA2D-C2DBAE06103A}" name="SMTP" dataDxfId="258"/>
    <tableColumn id="24" xr3:uid="{42F4A169-258F-47C3-BF5F-A69A6F6735B3}" name="SFTP" dataDxfId="257"/>
    <tableColumn id="25" xr3:uid="{9CD0C975-21FA-4305-98F4-E7A67A93F423}" name="3,4G" dataDxfId="256"/>
    <tableColumn id="26" xr3:uid="{28BB0220-1033-4E41-AF5E-33B70ED90D0E}" name="Wifi , IPV4,6" dataDxfId="255"/>
    <tableColumn id="27" xr3:uid="{B963A140-0472-4F2B-A4A2-EBE454338691}" name="IEC 60870-5-103/104/101" dataDxfId="254"/>
    <tableColumn id="28" xr3:uid="{E6B30973-BEBA-49CD-BA82-2C40C0B251E9}" name="IEC 61850" dataDxfId="253"/>
    <tableColumn id="29" xr3:uid="{15984759-422D-417E-8BB1-6A487C0196C2}" name="Zigbee" dataDxfId="252"/>
    <tableColumn id="30" xr3:uid="{C424626E-DEC7-4056-BD7F-E702AD522E1A}" name="Other" dataDxfId="25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3F4810D-0DB0-4025-B70D-FAE497FD3B38}" name="Table3210" displayName="Table3210" ref="A2:AG50" totalsRowShown="0" headerRowDxfId="250" dataDxfId="248" headerRowBorderDxfId="249" tableBorderDxfId="247" totalsRowBorderDxfId="246">
  <autoFilter ref="A2:AG50" xr:uid="{B3F4810D-0DB0-4025-B70D-FAE497FD3B38}"/>
  <tableColumns count="33">
    <tableColumn id="12" xr3:uid="{33FDDDFD-96C3-4FB7-A395-2D500D86925C}" name="Seen on BS" dataDxfId="245"/>
    <tableColumn id="33" xr3:uid="{4E5BCEA0-9C38-4A3D-849C-84884156CBE5}" name="Fingerprints available" dataDxfId="244"/>
    <tableColumn id="8" xr3:uid="{C49F078C-3F8D-441F-AA8A-CFD8E3719F50}" name="Product range" dataDxfId="243"/>
    <tableColumn id="1" xr3:uid="{C3A33A71-65A6-4D2F-B209-EBCBD9202FBE}" name="Family" dataDxfId="242"/>
    <tableColumn id="9" xr3:uid="{D8C39669-E464-4027-B95B-A0C17821BE50}" name="Family " dataDxfId="241"/>
    <tableColumn id="2" xr3:uid="{F958AB13-299E-4784-8C11-59B04A4273F8}" name="LOB" dataDxfId="240"/>
    <tableColumn id="30" xr3:uid="{489A2FE4-F3A0-4C1A-9E39-537494C67066}" name="Type" dataDxfId="239"/>
    <tableColumn id="11" xr3:uid="{75F01123-7EBF-43D3-ADB6-19B2130431C2}" name="EcoStruxure Level " dataDxfId="238"/>
    <tableColumn id="31" xr3:uid="{5C811CD6-8710-4BF9-9B39-A6E708F4AE29}" name="State" dataDxfId="237"/>
    <tableColumn id="32" xr3:uid="{8FA55DB3-DA8D-404D-A2F1-DBAEE33D221C}" name="Notes" dataDxfId="236"/>
    <tableColumn id="3" xr3:uid="{70138B20-5B8C-48DD-9697-03FCF5E19CE2}" name="Protocols" dataDxfId="235"/>
    <tableColumn id="4" xr3:uid="{B3E7E69B-6B2E-4918-A587-1B7F6894C50D}" name="BacNet" dataDxfId="234"/>
    <tableColumn id="10" xr3:uid="{B2E44414-F521-47D9-AC3E-88BF3C99C292}" name="EIP" dataDxfId="233"/>
    <tableColumn id="5" xr3:uid="{F2D8A17F-CEC6-4B62-B86A-7E0B4A736EAC}" name="FTP" dataDxfId="232"/>
    <tableColumn id="6" xr3:uid="{ABD53F08-1953-4BB1-AAE2-4C8863125246}" name="HTTP/ HTTPS" dataDxfId="231"/>
    <tableColumn id="7" xr3:uid="{29C28CBE-C347-404E-9DFB-16C8D9E8AC0A}" name="KNX" dataDxfId="230"/>
    <tableColumn id="14" xr3:uid="{FA8AC05D-AC3B-4F71-903F-AA0090A3B1ED}" name="mDNS" dataDxfId="229"/>
    <tableColumn id="15" xr3:uid="{89DFEAD4-8F90-4BAD-9A15-AD6BF2D24110}" name="Modbus Series" dataDxfId="228"/>
    <tableColumn id="16" xr3:uid="{E2316B66-F0E0-46E6-904B-878E2E6C2158}" name="ModbusTCP" dataDxfId="227"/>
    <tableColumn id="27" xr3:uid="{8090BCBE-68C5-422C-908F-1DCE7E337BF7}" name="SNTP" dataDxfId="226"/>
    <tableColumn id="17" xr3:uid="{44888F96-36E5-46C0-90BA-BD198EA19383}" name="SNMP" dataDxfId="225"/>
    <tableColumn id="18" xr3:uid="{FA7E4AD2-E294-4B3C-B19A-DF55D1AE2D90}" name="SQL Server" dataDxfId="224"/>
    <tableColumn id="19" xr3:uid="{584247F8-D147-404A-AE92-E696AAE5F201}" name="Telnet" dataDxfId="223"/>
    <tableColumn id="21" xr3:uid="{9A926132-B22F-47D1-99A0-DBE4F661D48D}" name="DNP3" dataDxfId="222"/>
    <tableColumn id="20" xr3:uid="{ADB69D3C-662E-43B5-B30F-837B1EB917FE}" name="Web" dataDxfId="221"/>
    <tableColumn id="28" xr3:uid="{8FBD10AC-A704-4E5C-B253-554E5BF2087A}" name="SMTP" dataDxfId="220"/>
    <tableColumn id="22" xr3:uid="{7D02E87E-AF54-4036-817C-3CD921A6113F}" name="SFTP" dataDxfId="219"/>
    <tableColumn id="23" xr3:uid="{51E17419-437B-481F-A9CA-63D445C6E7BB}" name="3,4G" dataDxfId="218"/>
    <tableColumn id="24" xr3:uid="{ACB7FA14-1ED8-4589-992F-4364F1B95790}" name="Wifi , IPV4,6" dataDxfId="217"/>
    <tableColumn id="25" xr3:uid="{2C3396A5-FDA4-4FF1-B5F8-8A70BEB8254C}" name="IEC 60870-5-103/104/101" dataDxfId="216"/>
    <tableColumn id="26" xr3:uid="{8458FEE1-2FA0-4503-BCC0-B1F54AB22817}" name="IEC 61850" dataDxfId="215"/>
    <tableColumn id="13" xr3:uid="{D809A687-3519-4889-8F7F-416CA8A60D1E}" name="Zigbee" dataDxfId="214"/>
    <tableColumn id="29" xr3:uid="{283B0314-AA44-49AC-9F3A-95A757E917F6}" name="Other " dataDxfId="213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15162D0-E581-4B4E-B957-DF53F5045F45}" name="Table328" displayName="Table328" ref="A2:AG5" totalsRowShown="0" headerRowDxfId="212" dataDxfId="210" headerRowBorderDxfId="211" tableBorderDxfId="209" totalsRowBorderDxfId="208">
  <autoFilter ref="A2:AG5" xr:uid="{015162D0-E581-4B4E-B957-DF53F5045F45}"/>
  <tableColumns count="33">
    <tableColumn id="8" xr3:uid="{F26C274D-D5C5-4216-AAC3-8B8396C3834B}" name="Seen on BS" dataDxfId="207"/>
    <tableColumn id="1" xr3:uid="{E558FF32-01E0-4866-B278-3DEFEA316701}" name="Fingerprints available" dataDxfId="206"/>
    <tableColumn id="12" xr3:uid="{5D128B34-78A5-4B31-97F0-3E06667252D4}" name="Product range " dataDxfId="205"/>
    <tableColumn id="32" xr3:uid="{D6787366-5DAE-4FB9-8FAE-CF216968FE75}" name="Family" dataDxfId="204"/>
    <tableColumn id="9" xr3:uid="{A7200DEA-6B24-4218-A723-580D51053B6C}" name="LOB" dataDxfId="203"/>
    <tableColumn id="2" xr3:uid="{0F4155CC-ECC6-4726-A015-5AB05439C61F}" name="BU" dataDxfId="202"/>
    <tableColumn id="30" xr3:uid="{6FA47A31-4EB7-42CC-BA11-94480DA3D0BE}" name="Type" dataDxfId="201"/>
    <tableColumn id="11" xr3:uid="{1F694AF4-51D2-4E6D-BD82-2731D9AE09FC}" name="EcoStruxure Level " dataDxfId="200"/>
    <tableColumn id="31" xr3:uid="{A31A27EC-73DD-4C1E-9980-E5718638FD1B}" name="State" dataDxfId="199"/>
    <tableColumn id="33" xr3:uid="{EB8E1086-FAB5-4E6B-8194-D6D07A71005A}" name="Notes" dataDxfId="198"/>
    <tableColumn id="3" xr3:uid="{EEE5F77E-9CFC-402D-B19F-7F3D59E79054}" name="Protocols" dataDxfId="197"/>
    <tableColumn id="4" xr3:uid="{F777D158-3584-4A9C-A06A-79E35E5ECD71}" name="BacNet" dataDxfId="196"/>
    <tableColumn id="10" xr3:uid="{901A3D56-65B1-4515-9E44-998D63F656C3}" name="EIP" dataDxfId="195"/>
    <tableColumn id="5" xr3:uid="{BF472B03-254E-4F24-B1E7-BC524188D105}" name="FTP" dataDxfId="194"/>
    <tableColumn id="6" xr3:uid="{46A7EEBC-59FD-4DF4-89D5-093842AE87A7}" name="HTTP/HTTPS" dataDxfId="193"/>
    <tableColumn id="7" xr3:uid="{56284260-7CF7-4552-B0C1-A1496FB15F87}" name="KNX" dataDxfId="192"/>
    <tableColumn id="14" xr3:uid="{60952201-FB8B-44D2-9E60-4D54404BEB97}" name="mDNS" dataDxfId="191"/>
    <tableColumn id="15" xr3:uid="{ED56F770-EFF1-4818-9321-D181BC43E0A7}" name="Modbus Series" dataDxfId="190"/>
    <tableColumn id="16" xr3:uid="{24302392-02D2-4645-9B91-9886AA0626C3}" name="ModbusTCP" dataDxfId="189"/>
    <tableColumn id="27" xr3:uid="{7941578A-B73A-4D5F-858C-71A6DFD704D2}" name="SNTP" dataDxfId="188"/>
    <tableColumn id="17" xr3:uid="{3E2C5E89-22E6-41A4-9625-AB94366981AE}" name="SNMP" dataDxfId="187"/>
    <tableColumn id="18" xr3:uid="{7959D8E8-D181-4C34-AC65-72DDC5354447}" name="SQL Server" dataDxfId="186"/>
    <tableColumn id="19" xr3:uid="{77C90A1C-C9CF-4D76-B63B-7CBA7E175513}" name="Telnet" dataDxfId="185"/>
    <tableColumn id="21" xr3:uid="{E206E6A0-84B6-4CDC-B621-C98D7729D92E}" name="DNP3" dataDxfId="184"/>
    <tableColumn id="20" xr3:uid="{51F07A62-DC68-40F5-8890-525C9537F3EE}" name="Web" dataDxfId="183"/>
    <tableColumn id="28" xr3:uid="{67AF8036-05B4-4A3D-A6DC-F1241F2B06E7}" name="SMTP" dataDxfId="182"/>
    <tableColumn id="22" xr3:uid="{3A6443EE-66B1-49E9-9DB9-4435FCC399B4}" name="SFTP" dataDxfId="181"/>
    <tableColumn id="23" xr3:uid="{CEBF143D-35D1-4E8B-9088-90CF68C1ACC0}" name="3,4G" dataDxfId="180"/>
    <tableColumn id="24" xr3:uid="{7DA1441E-24CA-40D1-B2EA-4428AEC1CCD3}" name="Wifi , IPV4,6" dataDxfId="179"/>
    <tableColumn id="25" xr3:uid="{8106B269-02CA-41B9-9DE6-4E9BF2574203}" name="IEC 60870-5-103/104/101" dataDxfId="178"/>
    <tableColumn id="26" xr3:uid="{1A473D26-CD6F-49BE-ABB6-849FBECE6B22}" name="IEC 61850" dataDxfId="177"/>
    <tableColumn id="13" xr3:uid="{BC1E8FA8-FBCE-46C2-93EC-558A6B278C4A}" name="Zigbee" dataDxfId="176"/>
    <tableColumn id="29" xr3:uid="{7138F467-D64B-4CBC-9F94-76B4A4EDF91D}" name="Column1" dataDxfId="175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B4D5E2-A1E6-4C6F-9EBB-70E685FD8F82}" name="Table3295" displayName="Table3295" ref="A2:AG24" totalsRowShown="0" headerRowDxfId="174" dataDxfId="172" headerRowBorderDxfId="173" tableBorderDxfId="171" totalsRowBorderDxfId="170">
  <autoFilter ref="A2:AG24" xr:uid="{CEB4D5E2-A1E6-4C6F-9EBB-70E685FD8F82}"/>
  <tableColumns count="33">
    <tableColumn id="33" xr3:uid="{E2355220-8CF6-487B-A57E-93243F308750}" name="Seen on BS" dataDxfId="169"/>
    <tableColumn id="8" xr3:uid="{AF782FCF-A591-4180-A8B2-64B496DCDC28}" name="Fingerprints available" dataDxfId="168"/>
    <tableColumn id="12" xr3:uid="{E3A5AB60-FD37-40D9-AC22-55C827A6B62F}" name="Product range " dataDxfId="167"/>
    <tableColumn id="1" xr3:uid="{1E66E6EC-C2F7-4DD0-9886-97B3FFE19F36}" name="Family" dataDxfId="166"/>
    <tableColumn id="9" xr3:uid="{DAEB26A9-8861-4B89-A073-9B3EAE7E7C55}" name="LOB" dataDxfId="165"/>
    <tableColumn id="2" xr3:uid="{57C534B8-ED96-418C-8D88-9F8745EC2EBF}" name="BU" dataDxfId="164"/>
    <tableColumn id="30" xr3:uid="{0410B2C0-8A88-4360-92A2-8DAF29E8104C}" name="Type" dataDxfId="163"/>
    <tableColumn id="11" xr3:uid="{8414B2C9-471F-49D1-97F7-AFEF9152C7E7}" name="EcoStruxure Level " dataDxfId="162"/>
    <tableColumn id="31" xr3:uid="{4D569F99-05DA-4BC8-9CD2-0EF63088B806}" name="State" dataDxfId="161"/>
    <tableColumn id="32" xr3:uid="{B755691F-FEC7-4AE4-889A-EF8890F9246D}" name="Notes" dataDxfId="160"/>
    <tableColumn id="3" xr3:uid="{734080E6-1EFD-4C0A-962F-1D56BF01953E}" name="Protocols" dataDxfId="159"/>
    <tableColumn id="4" xr3:uid="{7BAB2397-FEB2-4F76-BCF6-1FF43CB57F37}" name="BacNet" dataDxfId="158"/>
    <tableColumn id="10" xr3:uid="{CAC70301-0E8F-4E01-8210-A1708FDCED8B}" name="EIP" dataDxfId="157"/>
    <tableColumn id="5" xr3:uid="{632588FB-9CCA-4DF5-A147-25C089D5B9CD}" name="FTP" dataDxfId="156"/>
    <tableColumn id="6" xr3:uid="{3CAA8F46-7A6C-49C8-AC90-12D8AA6E5848}" name="HTTP/HTTPS" dataDxfId="155"/>
    <tableColumn id="7" xr3:uid="{1BD2F69A-5E81-420A-BDB4-FB04118E5D75}" name="KNX" dataDxfId="154"/>
    <tableColumn id="14" xr3:uid="{446984B2-DE30-455F-B5A1-C015390BAFE3}" name="mDNS" dataDxfId="153"/>
    <tableColumn id="15" xr3:uid="{A9C4ECD9-C854-4331-9E3F-560A730AC474}" name="Modbus Series" dataDxfId="152"/>
    <tableColumn id="16" xr3:uid="{C84270C6-C8A4-4A0F-BE96-783A43B8AF0F}" name="ModbusTCP" dataDxfId="151"/>
    <tableColumn id="27" xr3:uid="{8F24E545-911E-45C6-B2D5-C58EFA1A27BA}" name="SNTP" dataDxfId="150"/>
    <tableColumn id="17" xr3:uid="{6DC3D4AC-8870-4961-B056-D60F48FF418B}" name="SNMP" dataDxfId="149"/>
    <tableColumn id="18" xr3:uid="{8A139749-C447-4F40-B74F-E9F28344067D}" name="SQL Server" dataDxfId="148"/>
    <tableColumn id="19" xr3:uid="{6FB17750-E8EB-400D-8EB8-A78FB0BCF2AD}" name="Telnet" dataDxfId="147"/>
    <tableColumn id="21" xr3:uid="{90464304-3D10-49F5-ADFD-8B673032B950}" name="DNP3" dataDxfId="146"/>
    <tableColumn id="20" xr3:uid="{07A68024-7BEA-4C3A-AD87-A654A410447B}" name="Web" dataDxfId="145"/>
    <tableColumn id="28" xr3:uid="{314EA484-81FC-41BD-B4AC-A5512D675164}" name="SMTP" dataDxfId="144"/>
    <tableColumn id="22" xr3:uid="{40BA4877-2D9A-47E9-841B-30D4D012B45F}" name="SFTP" dataDxfId="143"/>
    <tableColumn id="23" xr3:uid="{1EB7D3A8-7A68-4AC3-A3D5-5637F234BF1B}" name="3,4G" dataDxfId="142"/>
    <tableColumn id="24" xr3:uid="{71B70DFB-79DB-4254-9031-332D0825275F}" name="Wifi , IPV4,6" dataDxfId="141"/>
    <tableColumn id="25" xr3:uid="{BDAD4CC3-67AB-4A1E-91BE-2CECE8D06074}" name="IEC 60870-5-103/104/101" dataDxfId="140"/>
    <tableColumn id="26" xr3:uid="{0311E24E-A187-4823-AC23-E914647BECA8}" name="IEC 61850" dataDxfId="139"/>
    <tableColumn id="13" xr3:uid="{EC63E94C-616D-4AC6-924A-5F7C99FB81BE}" name="Zigbee" dataDxfId="138"/>
    <tableColumn id="29" xr3:uid="{D008B134-C6F7-41DD-9601-44BA85FD529E}" name="Column1" dataDxfId="137"/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AEEB6E-1B5F-410C-84A4-BAC9A46C4D03}" name="Table543" displayName="Table543" ref="A1:AE26" totalsRowShown="0" headerRowDxfId="136" dataDxfId="134" headerRowBorderDxfId="135" tableBorderDxfId="133">
  <autoFilter ref="A1:AE26" xr:uid="{27CE6B3E-113D-4D93-ACEC-A541AE535443}"/>
  <sortState xmlns:xlrd2="http://schemas.microsoft.com/office/spreadsheetml/2017/richdata2" ref="A2:AE19">
    <sortCondition ref="C1:C19"/>
  </sortState>
  <tableColumns count="31">
    <tableColumn id="2" xr3:uid="{DE7136FC-B47E-4139-9574-3683EAA5F0F5}" name="Product range " dataDxfId="132"/>
    <tableColumn id="4" xr3:uid="{5F29F998-3371-4865-855B-5617AD1F78DE}" name="Family" dataDxfId="131"/>
    <tableColumn id="3" xr3:uid="{DCED3744-BFF0-4C7B-9610-B2D53E3CA4C5}" name="LOB" dataDxfId="130"/>
    <tableColumn id="32" xr3:uid="{683AE745-28D7-4CF8-8879-71BF370ED780}" name="BU" dataDxfId="129"/>
    <tableColumn id="5" xr3:uid="{39622C9C-72C5-4477-9371-285CEFF00646}" name="Type" dataDxfId="128"/>
    <tableColumn id="6" xr3:uid="{72D23614-EB67-4769-A892-8199CDCDBEAB}" name="EcoStruxuretruxure Level " dataDxfId="127"/>
    <tableColumn id="31" xr3:uid="{9DE00E0C-88C6-4A09-AC6F-8E08176A9F6F}" name="State " dataDxfId="126"/>
    <tableColumn id="33" xr3:uid="{0F1F39FF-BBA7-46B4-8A72-5EF1445E482F}" name="Notes" dataDxfId="125"/>
    <tableColumn id="7" xr3:uid="{29226C18-78B9-4350-A70E-2D17D1AEF6F1}" name="Protocols" dataDxfId="124"/>
    <tableColumn id="8" xr3:uid="{306D8F0D-3061-4053-9FCC-9251BA6DC162}" name="BacNet" dataDxfId="123"/>
    <tableColumn id="9" xr3:uid="{492ADE13-D783-49C0-B228-55FA66B134DB}" name="EIP" dataDxfId="122"/>
    <tableColumn id="10" xr3:uid="{16875AEA-6812-445E-A083-98F5959E1313}" name="FTP" dataDxfId="121"/>
    <tableColumn id="11" xr3:uid="{6ABE0168-AF2F-40C9-8D14-4ED3F27FF16E}" name="HTTP/HTTPS" dataDxfId="120"/>
    <tableColumn id="12" xr3:uid="{CDC165FA-61E8-4595-8C82-B8D17A8BF33E}" name="KNX" dataDxfId="119"/>
    <tableColumn id="14" xr3:uid="{19C9DD1E-4F1A-46B6-B576-B4531D009FC3}" name="mDNS" dataDxfId="118"/>
    <tableColumn id="15" xr3:uid="{8EDF3BE2-5347-4052-89AB-C2E66264F2E7}" name="Modbus Series" dataDxfId="117"/>
    <tableColumn id="16" xr3:uid="{A0DFA8EF-B3F5-4823-A8D1-C1F1EB7D5204}" name="ModbusTCP" dataDxfId="116"/>
    <tableColumn id="17" xr3:uid="{368BF0EA-FABB-455B-B7B9-F4B7F0C527A9}" name="SNTP" dataDxfId="115"/>
    <tableColumn id="18" xr3:uid="{5B83465C-CE2F-4F54-8D66-7B74A3151FFF}" name="SNMP" dataDxfId="114"/>
    <tableColumn id="19" xr3:uid="{844B65F4-282D-4ABB-95AE-AE32D1ADF301}" name="SQL Server" dataDxfId="113"/>
    <tableColumn id="20" xr3:uid="{7183CA40-68EA-497D-8CBB-9D104581B0DF}" name="Telnet" dataDxfId="112"/>
    <tableColumn id="21" xr3:uid="{967066CC-5B13-4646-836E-933E58B8A085}" name="DNP3" dataDxfId="111"/>
    <tableColumn id="22" xr3:uid="{44D3FA96-9935-4EFF-8B8A-42B3769728F3}" name="Web" dataDxfId="110"/>
    <tableColumn id="23" xr3:uid="{667AB41D-1C11-4AEA-AB69-7266EAE5EECE}" name="SMTP" dataDxfId="109"/>
    <tableColumn id="24" xr3:uid="{CB3F3C9F-8422-4113-96A0-0B68F78AE5B9}" name="SFTP" dataDxfId="108"/>
    <tableColumn id="25" xr3:uid="{97807C66-E549-476A-8C86-16E5269AC2B9}" name="3,4G" dataDxfId="107"/>
    <tableColumn id="26" xr3:uid="{2F3E14C4-AB6C-4E0A-9A66-0B13156FD9F4}" name="Wifi , IPV4,6" dataDxfId="106"/>
    <tableColumn id="27" xr3:uid="{F9244FE6-F4D6-42D8-91D5-F8C157265C99}" name="IEC 60870-5-103/104/101" dataDxfId="105"/>
    <tableColumn id="28" xr3:uid="{A3B5EC44-C892-4563-AD02-AC18AD10F334}" name="IEC 61850" dataDxfId="104"/>
    <tableColumn id="29" xr3:uid="{D7AE1622-F0AF-488C-9C7D-8B6E8B24311E}" name="Zigbee" dataDxfId="103"/>
    <tableColumn id="30" xr3:uid="{205DA35B-2F96-4290-BD28-B40C604D6CA8}" name="Other" dataDxfId="10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E51BAF-EA4B-4CD4-A049-58A0061C0A82}" name="Table572" displayName="Table572" ref="A1:AE87" totalsRowShown="0" headerRowDxfId="101" dataDxfId="99" headerRowBorderDxfId="100" tableBorderDxfId="98">
  <autoFilter ref="A1:AE87" xr:uid="{00E51BAF-EA4B-4CD4-A049-58A0061C0A82}"/>
  <sortState xmlns:xlrd2="http://schemas.microsoft.com/office/spreadsheetml/2017/richdata2" ref="A2:AE87">
    <sortCondition ref="F1:F87"/>
  </sortState>
  <tableColumns count="31">
    <tableColumn id="2" xr3:uid="{EBE30E1C-C722-469C-8D20-51D760C351E8}" name="Product range " dataDxfId="97"/>
    <tableColumn id="3" xr3:uid="{184AE801-CC25-4D0E-8C4A-B09D4E023986}" name="Family" dataDxfId="96"/>
    <tableColumn id="32" xr3:uid="{AAE4933E-78CC-49E2-9921-6CF69D29FF52}" name="LOB" dataDxfId="95"/>
    <tableColumn id="4" xr3:uid="{D53844AD-A654-4705-95FF-45862F071C3F}" name="BU " dataDxfId="94"/>
    <tableColumn id="5" xr3:uid="{2CF0B862-5C4E-44E8-8BBC-48936D0B2C12}" name="Type" dataDxfId="93"/>
    <tableColumn id="6" xr3:uid="{AFF1A134-750B-4CA5-A691-8C74A14D8997}" name="EcoStruxuretruxure Level " dataDxfId="92"/>
    <tableColumn id="31" xr3:uid="{89E00EA4-1ED1-423E-95B9-B637759375EC}" name="State " dataDxfId="91"/>
    <tableColumn id="7" xr3:uid="{EE122F08-C632-48B7-8DF1-8705893BDDF5}" name="Notes" dataDxfId="90"/>
    <tableColumn id="33" xr3:uid="{1E1CA1C0-72CA-4E82-B03F-8EAB4BDA27B7}" name="Protocols" dataDxfId="89"/>
    <tableColumn id="8" xr3:uid="{A445885A-8533-41B3-8E67-AC20FD13D60C}" name="BacNet" dataDxfId="88"/>
    <tableColumn id="9" xr3:uid="{40636E75-B5F2-4CBD-9979-B8AC8663F2A5}" name="EIP" dataDxfId="87"/>
    <tableColumn id="10" xr3:uid="{DB406B83-EE39-43E7-9C48-71CC8CF9EF27}" name="FTP" dataDxfId="86"/>
    <tableColumn id="11" xr3:uid="{52A29331-9221-429F-879E-9A4808DEBF04}" name="HTTP/HTTPS" dataDxfId="85"/>
    <tableColumn id="12" xr3:uid="{D7736B0C-D226-4A36-A230-FF1178302093}" name="KNX" dataDxfId="84"/>
    <tableColumn id="14" xr3:uid="{77FECB8D-3702-41F6-83B2-BB2FD028501E}" name="mDNS" dataDxfId="83"/>
    <tableColumn id="15" xr3:uid="{3A465495-0ED3-49FE-A153-2DC45A9679AD}" name="Modbus Series" dataDxfId="82"/>
    <tableColumn id="16" xr3:uid="{61CDE989-A7CF-45C3-B979-BBC78B8C8945}" name="ModbusTCP" dataDxfId="81"/>
    <tableColumn id="17" xr3:uid="{3AAADCD0-3E25-4101-A9C8-E9A278DEC592}" name="SNTP" dataDxfId="80"/>
    <tableColumn id="18" xr3:uid="{8DA8015A-8BEA-4DAD-B7DF-C7D38EAC03B5}" name="SNMP" dataDxfId="79"/>
    <tableColumn id="19" xr3:uid="{C2D8981A-E762-4CA8-8BE4-FFBDBE9EB0A7}" name="SQL Server" dataDxfId="78"/>
    <tableColumn id="20" xr3:uid="{E0FF3496-5D83-4440-A43B-596C4DBB6190}" name="Telnet" dataDxfId="77"/>
    <tableColumn id="21" xr3:uid="{9B473319-F03F-48EC-813D-7809DD68F73F}" name="DNP3" dataDxfId="76"/>
    <tableColumn id="22" xr3:uid="{7D32A477-31E4-447F-A114-E87686C59896}" name="Web" dataDxfId="75"/>
    <tableColumn id="23" xr3:uid="{42EE39C0-2691-4DAC-9351-B6C51B6A6AAB}" name="SMTP" dataDxfId="74"/>
    <tableColumn id="24" xr3:uid="{237E3637-C504-4387-980A-4DDD3D6DC4C7}" name="SFTP" dataDxfId="73"/>
    <tableColumn id="25" xr3:uid="{91A0637C-1303-4DC9-9D14-A7BC54699D9A}" name="3,4G" dataDxfId="72"/>
    <tableColumn id="26" xr3:uid="{284F3B89-4CF2-481F-A6DD-B3812DE12B1F}" name="Wifi , IPV4,6" dataDxfId="71"/>
    <tableColumn id="27" xr3:uid="{62BD99A8-F46B-4089-BBE5-F5CC30465DE9}" name="IEC 60870-5-103/104/101" dataDxfId="70"/>
    <tableColumn id="28" xr3:uid="{0CE09B55-5F72-496E-A114-167761183710}" name="IEC 61850" dataDxfId="69"/>
    <tableColumn id="29" xr3:uid="{EFC8B3C6-E1F1-4154-AA3F-3858A07FFFD4}" name="Zigbee" dataDxfId="68"/>
    <tableColumn id="30" xr3:uid="{B704000A-9A55-4F4F-9067-63EAA701CA37}" name="Other" dataDxfId="6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4FB5E5-C406-4A02-83AC-6F5FCF3D72C6}" name="Table5486" displayName="Table5486" ref="A2:AH86" totalsRowShown="0" headerRowDxfId="66" dataDxfId="64" headerRowBorderDxfId="65" tableBorderDxfId="63" totalsRowBorderDxfId="62">
  <autoFilter ref="A2:AH86" xr:uid="{F540BDFF-E0DD-44DC-B623-8CE4ECD4FA6E}"/>
  <tableColumns count="34">
    <tableColumn id="35" xr3:uid="{EB8E346B-0A68-41E2-BB37-1C3F22C32598}" name="Seen on BS" dataDxfId="61"/>
    <tableColumn id="13" xr3:uid="{E1DE980B-716B-4D10-9DB0-DBDB63A19FC9}" name="Fingerprints available" dataDxfId="60"/>
    <tableColumn id="1" xr3:uid="{BA298EBB-2617-4155-976A-6826E73754BC}" name="Category" dataDxfId="59"/>
    <tableColumn id="2" xr3:uid="{63B2E1E3-31CF-4B8C-B879-989C7BDDE76D}" name="Product range" dataDxfId="58"/>
    <tableColumn id="32" xr3:uid="{E8F44B0E-A7FD-48F3-8FE8-9F9F99F927EB}" name="Family" dataDxfId="57"/>
    <tableColumn id="3" xr3:uid="{6550C624-B217-402B-8EF2-5D1483183A8C}" name="LOB" dataDxfId="56"/>
    <tableColumn id="4" xr3:uid="{FEF57F2F-0C57-4A7A-94EB-8E9237DCE58F}" name="BU" dataDxfId="55"/>
    <tableColumn id="5" xr3:uid="{6314E705-5D36-4613-B027-8F518817F039}" name="Type" dataDxfId="54"/>
    <tableColumn id="6" xr3:uid="{1218E7F3-07FE-4819-8B03-AAF3B04D8A67}" name="EcoStruxuretruxure Level " dataDxfId="53"/>
    <tableColumn id="31" xr3:uid="{7BD51C46-A0BA-4582-8E1E-74B37A6D5555}" name="State " dataDxfId="52"/>
    <tableColumn id="33" xr3:uid="{618D92F9-9101-4C16-B50C-FB61353A47EC}" name="Notes" dataDxfId="51"/>
    <tableColumn id="7" xr3:uid="{A69050D3-363D-472B-ADE2-9E5EA7FE668E}" name="Protocols" dataDxfId="50"/>
    <tableColumn id="8" xr3:uid="{84A78FA3-504A-4240-84D4-8E5364DEAEAF}" name="BacNet" dataDxfId="49"/>
    <tableColumn id="9" xr3:uid="{2EE2CC87-79EC-46F9-BC31-7A669260D3E0}" name="EIP" dataDxfId="48"/>
    <tableColumn id="10" xr3:uid="{D22F463B-0B0F-4A96-A401-6F0D19F5125D}" name="FTP" dataDxfId="47"/>
    <tableColumn id="11" xr3:uid="{D2703599-0AF4-48BA-B5BA-3B4A8AE9BE9A}" name="HTTP/HTTPS" dataDxfId="46"/>
    <tableColumn id="12" xr3:uid="{D44C23BA-3C6A-4540-8D8C-16B315ED5582}" name="KNX" dataDxfId="45"/>
    <tableColumn id="14" xr3:uid="{7271C3C2-32F7-45C3-ABE8-3676171E59B5}" name="mDNS" dataDxfId="44"/>
    <tableColumn id="15" xr3:uid="{C8C261AD-9752-405E-9DEE-1B8D001FE6D4}" name="Modbus Series" dataDxfId="43"/>
    <tableColumn id="16" xr3:uid="{FAEAA3DC-75EC-431D-AD95-01AC2B016984}" name="ModbusTCP" dataDxfId="42"/>
    <tableColumn id="17" xr3:uid="{72100C56-2397-414C-B34E-29A7F882CCDC}" name="SNTP" dataDxfId="41"/>
    <tableColumn id="18" xr3:uid="{FF574AED-D0B0-4D23-B337-2D946845BFFC}" name="SNMP" dataDxfId="40"/>
    <tableColumn id="19" xr3:uid="{890CB0F8-3369-4DAA-B6BE-5159E222646E}" name="SQL Server" dataDxfId="39"/>
    <tableColumn id="20" xr3:uid="{C85E3CB5-5421-47E7-894F-51C9113790EB}" name="Telnet" dataDxfId="38"/>
    <tableColumn id="21" xr3:uid="{3005D6B7-BE0E-452E-8596-09E36E20F844}" name="DNP3" dataDxfId="37"/>
    <tableColumn id="22" xr3:uid="{1B4658D8-1587-4FAE-BB4B-E05D49FCD7AD}" name="Web" dataDxfId="36"/>
    <tableColumn id="23" xr3:uid="{3AE0B763-66D6-47E8-A809-3C692069FB85}" name="SMTP" dataDxfId="35"/>
    <tableColumn id="24" xr3:uid="{B44578B7-ABCF-4701-B901-4EE976649715}" name="SFTP" dataDxfId="34"/>
    <tableColumn id="25" xr3:uid="{96BFFE01-B6DA-4B3E-BC0F-0A37A9DB197F}" name="3,4G" dataDxfId="33"/>
    <tableColumn id="26" xr3:uid="{2087B4F4-B5F7-48F0-909F-C48BE1F12EF1}" name="Wifi , IPV4,6" dataDxfId="32"/>
    <tableColumn id="27" xr3:uid="{F811E561-FA14-4848-9CDE-FA2C44D6679F}" name="IEC 60870-5-103/104/101" dataDxfId="31"/>
    <tableColumn id="28" xr3:uid="{136773FB-6EAC-4094-9622-38E144C3C96C}" name="IEC 61850" dataDxfId="30"/>
    <tableColumn id="29" xr3:uid="{E0D9051A-E3CF-435A-BE3A-18AA73066AC4}" name="Zigbee" dataDxfId="29"/>
    <tableColumn id="30" xr3:uid="{EC1B3B29-0055-4AF0-8677-B3D47992D04D}" name="Other" dataDxf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4-11-05T12:20:02.17" personId="{E56C5687-8DA5-41A8-A334-A9C410D6CF49}" id="{166331F6-A800-4DFC-B373-77E2153CCAEB}">
    <text>To be verified by IA BU</text>
  </threadedComment>
  <threadedComment ref="B59" dT="2024-11-13T08:21:06.35" personId="{E56C5687-8DA5-41A8-A334-A9C410D6CF49}" id="{E9A2A578-384F-42DA-9F39-E8A7624AEFEE}">
    <text>TBC. Seen as Process Control on BS</text>
  </threadedComment>
  <threadedComment ref="D145" dT="2024-11-13T08:03:14.82" personId="{E56C5687-8DA5-41A8-A334-A9C410D6CF49}" id="{D5CBA914-4823-478E-94AE-6E383CE5ABAE}">
    <text>Added. Was not included in the offer list but seen as OT exposure.</text>
  </threadedComment>
  <threadedComment ref="D146" dT="2024-11-13T08:03:14.82" personId="{E56C5687-8DA5-41A8-A334-A9C410D6CF49}" id="{33488FA3-8A0A-40AA-BD07-DF3B4F6489AD}">
    <text>Added. Was not included in the offer list but seen as OT exposure.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5" dT="2025-07-09T07:48:06.92" personId="{A069E40D-8BA5-4829-A4AF-814F7E51DCCF}" id="{EB63183D-94BA-4109-AC60-E854E0C7B433}">
    <text>Didn't do anything Active</text>
  </threadedComment>
  <threadedComment ref="D9" dT="2025-07-09T07:48:29.40" personId="{A069E40D-8BA5-4829-A4AF-814F7E51DCCF}" id="{4DE73123-A09A-402C-A615-ABA00B4C92CD}">
    <text>(Need to check)</text>
  </threadedComment>
  <threadedComment ref="D21" dT="2025-07-10T05:41:48.35" personId="{A069E40D-8BA5-4829-A4AF-814F7E51DCCF}" id="{662D9F44-96D0-47F0-B638-FCF65C45EC1D}">
    <text>need to check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5" dT="2025-04-09T07:15:46.41" personId="{E56C5687-8DA5-41A8-A334-A9C410D6CF49}" id="{D077409D-4001-4593-AE54-573E0919B70D}">
    <text>Combine NS&gt;630A &amp; NS Switch-disconn</text>
  </threadedComment>
  <threadedComment ref="E24" dT="2025-05-27T14:24:44.32" personId="{E56C5687-8DA5-41A8-A334-A9C410D6CF49}" id="{163F98B1-939A-40F5-838C-BC7344B3A951}">
    <text>On Hold for H&amp;D portfolio</text>
  </threadedComment>
  <threadedComment ref="E24" dT="2025-09-18T12:44:07.33" personId="{E56C5687-8DA5-41A8-A334-A9C410D6CF49}" id="{80272B97-1D18-428A-ABB0-B44A7D4E4775}" parentId="{163F98B1-939A-40F5-838C-BC7344B3A951}">
    <text>Moved from HSD to PP (Alba)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5" dT="2025-09-18T12:19:31.78" personId="{E56C5687-8DA5-41A8-A334-A9C410D6CF49}" id="{49263B47-3F50-4B38-B7BA-E4340CA0A900}">
    <text>HSD to check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0" dT="2025-04-09T07:12:38.28" personId="{E56C5687-8DA5-41A8-A334-A9C410D6CF49}" id="{2066560F-6380-4E62-B005-00A51A497C01}">
    <text>To be removed from the list as no protocols supported</text>
  </threadedComment>
  <threadedComment ref="D19" dT="2025-04-11T11:51:59.90" personId="{E56C5687-8DA5-41A8-A334-A9C410D6CF49}" id="{C9BA83C9-155C-402A-AC30-AFC5EE59633A}">
    <text>It is part of Digital Energy. TBC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70" dT="2025-09-02T09:44:42.98" personId="{E56C5687-8DA5-41A8-A334-A9C410D6CF49}" id="{572C1346-7797-4B35-9D4E-D332FE49D24B}">
    <text>Serial Comms. Hence moved</text>
  </threadedComment>
  <threadedComment ref="B71" dT="2025-09-02T09:47:06.78" personId="{E56C5687-8DA5-41A8-A334-A9C410D6CF49}" id="{D8B0504B-A37A-4A28-8AD2-7C239598842C}">
    <text>Yes*</text>
  </threadedComment>
  <threadedComment ref="E73" dT="2025-09-02T09:48:29.54" personId="{E56C5687-8DA5-41A8-A334-A9C410D6CF49}" id="{F0D50A94-779E-4A6D-9252-735F777CC36F}">
    <text>To check with Digital Power team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e.com/in/en/product-range/63369-em6400ng+/?parent-subcategory-id=82264&amp;filter=business-4-low-voltage-products-and-systems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CF7F-2766-4F84-994A-5D3A61D5117C}">
  <dimension ref="B2:AG57"/>
  <sheetViews>
    <sheetView topLeftCell="O45" zoomScale="91" zoomScaleNormal="91" workbookViewId="0">
      <selection activeCell="AE49" sqref="AE49:AG49"/>
    </sheetView>
  </sheetViews>
  <sheetFormatPr baseColWidth="10" defaultColWidth="8.5703125" defaultRowHeight="15.75"/>
  <cols>
    <col min="1" max="18" width="8.5703125" style="36"/>
    <col min="19" max="19" width="27.42578125" style="36" customWidth="1"/>
    <col min="20" max="16384" width="8.5703125" style="36"/>
  </cols>
  <sheetData>
    <row r="2" spans="2:21">
      <c r="B2" s="379"/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</row>
    <row r="3" spans="2:21" ht="16.5" thickBot="1">
      <c r="B3" s="379"/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</row>
    <row r="4" spans="2:21">
      <c r="B4" s="379"/>
      <c r="C4" s="369" t="s">
        <v>0</v>
      </c>
      <c r="D4" s="370"/>
      <c r="E4" s="370"/>
      <c r="F4" s="370"/>
      <c r="G4" s="370"/>
      <c r="H4" s="370" t="s">
        <v>1</v>
      </c>
      <c r="I4" s="370"/>
      <c r="J4" s="370"/>
      <c r="K4" s="370"/>
      <c r="L4" s="370" t="s">
        <v>2</v>
      </c>
      <c r="M4" s="370"/>
      <c r="N4" s="370"/>
      <c r="O4" s="370" t="s">
        <v>3</v>
      </c>
      <c r="P4" s="370"/>
      <c r="Q4" s="370"/>
      <c r="R4" s="386" t="s">
        <v>4</v>
      </c>
      <c r="S4" s="379"/>
      <c r="T4" s="382" t="s">
        <v>5</v>
      </c>
      <c r="U4" s="382"/>
    </row>
    <row r="5" spans="2:21">
      <c r="B5" s="379"/>
      <c r="C5" s="371"/>
      <c r="D5" s="372"/>
      <c r="E5" s="372"/>
      <c r="F5" s="372"/>
      <c r="G5" s="372"/>
      <c r="H5" s="372"/>
      <c r="I5" s="372"/>
      <c r="J5" s="372"/>
      <c r="K5" s="372"/>
      <c r="L5" s="372"/>
      <c r="M5" s="372"/>
      <c r="N5" s="372"/>
      <c r="O5" s="372"/>
      <c r="P5" s="372"/>
      <c r="Q5" s="372"/>
      <c r="R5" s="387"/>
      <c r="S5" s="379"/>
      <c r="T5" s="382"/>
      <c r="U5" s="382"/>
    </row>
    <row r="6" spans="2:21">
      <c r="B6" s="379"/>
      <c r="C6" s="371"/>
      <c r="D6" s="372"/>
      <c r="E6" s="372"/>
      <c r="F6" s="372"/>
      <c r="G6" s="372"/>
      <c r="H6" s="372"/>
      <c r="I6" s="372"/>
      <c r="J6" s="372"/>
      <c r="K6" s="372"/>
      <c r="L6" s="372"/>
      <c r="M6" s="372"/>
      <c r="N6" s="372"/>
      <c r="O6" s="372"/>
      <c r="P6" s="372"/>
      <c r="Q6" s="372"/>
      <c r="R6" s="387"/>
      <c r="S6" s="379"/>
      <c r="T6" s="382"/>
      <c r="U6" s="382"/>
    </row>
    <row r="7" spans="2:21" ht="15.4" customHeight="1">
      <c r="B7" s="379"/>
      <c r="C7" s="376" t="s">
        <v>6</v>
      </c>
      <c r="D7" s="375"/>
      <c r="E7" s="375"/>
      <c r="F7" s="375"/>
      <c r="G7" s="375"/>
      <c r="H7" s="375" t="s">
        <v>7</v>
      </c>
      <c r="I7" s="375"/>
      <c r="J7" s="375"/>
      <c r="K7" s="375"/>
      <c r="L7" s="375">
        <v>78</v>
      </c>
      <c r="M7" s="375"/>
      <c r="N7" s="375"/>
      <c r="O7" s="375">
        <v>14</v>
      </c>
      <c r="P7" s="375"/>
      <c r="Q7" s="375"/>
      <c r="R7" s="72">
        <f>SUM(L7:Q7)</f>
        <v>92</v>
      </c>
      <c r="S7" s="379"/>
      <c r="T7" s="382"/>
      <c r="U7" s="382"/>
    </row>
    <row r="8" spans="2:21">
      <c r="B8" s="379"/>
      <c r="C8" s="376"/>
      <c r="D8" s="375"/>
      <c r="E8" s="375"/>
      <c r="F8" s="375"/>
      <c r="G8" s="375"/>
      <c r="H8" s="375" t="s">
        <v>8</v>
      </c>
      <c r="I8" s="375"/>
      <c r="J8" s="375"/>
      <c r="K8" s="375"/>
      <c r="L8" s="375">
        <v>28</v>
      </c>
      <c r="M8" s="375"/>
      <c r="N8" s="375"/>
      <c r="O8" s="375">
        <v>5</v>
      </c>
      <c r="P8" s="375"/>
      <c r="Q8" s="375"/>
      <c r="R8" s="72">
        <f t="shared" ref="R8:R9" si="0">SUM(L8:Q8)</f>
        <v>33</v>
      </c>
      <c r="S8" s="379"/>
      <c r="T8" s="382"/>
      <c r="U8" s="382"/>
    </row>
    <row r="9" spans="2:21">
      <c r="B9" s="379"/>
      <c r="C9" s="376"/>
      <c r="D9" s="375"/>
      <c r="E9" s="375"/>
      <c r="F9" s="375"/>
      <c r="G9" s="375"/>
      <c r="H9" s="375" t="s">
        <v>9</v>
      </c>
      <c r="I9" s="375"/>
      <c r="J9" s="375"/>
      <c r="K9" s="375"/>
      <c r="L9" s="375">
        <v>26</v>
      </c>
      <c r="M9" s="375"/>
      <c r="N9" s="375"/>
      <c r="O9" s="375">
        <v>0</v>
      </c>
      <c r="P9" s="375"/>
      <c r="Q9" s="375"/>
      <c r="R9" s="72">
        <f t="shared" si="0"/>
        <v>26</v>
      </c>
      <c r="S9" s="379"/>
      <c r="T9" s="382"/>
      <c r="U9" s="382"/>
    </row>
    <row r="10" spans="2:21">
      <c r="B10" s="379"/>
      <c r="C10" s="388"/>
      <c r="D10" s="389"/>
      <c r="E10" s="389"/>
      <c r="F10" s="389"/>
      <c r="G10" s="389"/>
      <c r="H10" s="389"/>
      <c r="I10" s="389"/>
      <c r="J10" s="389"/>
      <c r="K10" s="389"/>
      <c r="L10" s="389"/>
      <c r="M10" s="389"/>
      <c r="N10" s="389"/>
      <c r="O10" s="389"/>
      <c r="P10" s="389"/>
      <c r="Q10" s="389"/>
      <c r="R10" s="390"/>
      <c r="S10" s="379"/>
      <c r="T10" s="382"/>
      <c r="U10" s="382"/>
    </row>
    <row r="11" spans="2:21">
      <c r="B11" s="379"/>
      <c r="C11" s="377" t="s">
        <v>10</v>
      </c>
      <c r="D11" s="378"/>
      <c r="E11" s="378"/>
      <c r="F11" s="378"/>
      <c r="G11" s="378"/>
      <c r="H11" s="378" t="s">
        <v>10</v>
      </c>
      <c r="I11" s="378"/>
      <c r="J11" s="378"/>
      <c r="K11" s="378"/>
      <c r="L11" s="378">
        <v>86</v>
      </c>
      <c r="M11" s="378"/>
      <c r="N11" s="378"/>
      <c r="O11" s="378">
        <v>0</v>
      </c>
      <c r="P11" s="378"/>
      <c r="Q11" s="378"/>
      <c r="R11" s="73">
        <f>SUM(L11:Q11)</f>
        <v>86</v>
      </c>
      <c r="S11" s="379"/>
      <c r="T11" s="382"/>
      <c r="U11" s="382"/>
    </row>
    <row r="12" spans="2:21">
      <c r="B12" s="379"/>
      <c r="C12" s="391"/>
      <c r="D12" s="392"/>
      <c r="E12" s="392"/>
      <c r="F12" s="392"/>
      <c r="G12" s="392"/>
      <c r="H12" s="392"/>
      <c r="I12" s="392"/>
      <c r="J12" s="392"/>
      <c r="K12" s="392"/>
      <c r="L12" s="392"/>
      <c r="M12" s="392"/>
      <c r="N12" s="392"/>
      <c r="O12" s="392"/>
      <c r="P12" s="392"/>
      <c r="Q12" s="392"/>
      <c r="R12" s="393"/>
      <c r="S12" s="379"/>
      <c r="T12" s="382"/>
      <c r="U12" s="382"/>
    </row>
    <row r="13" spans="2:21">
      <c r="B13" s="379"/>
      <c r="C13" s="380" t="s">
        <v>11</v>
      </c>
      <c r="D13" s="374"/>
      <c r="E13" s="374"/>
      <c r="F13" s="374"/>
      <c r="G13" s="374"/>
      <c r="H13" s="374" t="s">
        <v>12</v>
      </c>
      <c r="I13" s="374"/>
      <c r="J13" s="374"/>
      <c r="K13" s="374"/>
      <c r="L13" s="374">
        <v>111</v>
      </c>
      <c r="M13" s="374"/>
      <c r="N13" s="374"/>
      <c r="O13" s="374">
        <v>0</v>
      </c>
      <c r="P13" s="374"/>
      <c r="Q13" s="374"/>
      <c r="R13" s="71">
        <f>SUM(L13:Q13)</f>
        <v>111</v>
      </c>
      <c r="S13" s="379"/>
      <c r="T13" s="382"/>
      <c r="U13" s="382"/>
    </row>
    <row r="14" spans="2:21">
      <c r="B14" s="379"/>
      <c r="C14" s="380"/>
      <c r="D14" s="374"/>
      <c r="E14" s="374"/>
      <c r="F14" s="374"/>
      <c r="G14" s="374"/>
      <c r="H14" s="374" t="s">
        <v>13</v>
      </c>
      <c r="I14" s="374"/>
      <c r="J14" s="374"/>
      <c r="K14" s="374"/>
      <c r="L14" s="374">
        <v>37</v>
      </c>
      <c r="M14" s="374"/>
      <c r="N14" s="374"/>
      <c r="O14" s="374">
        <v>5</v>
      </c>
      <c r="P14" s="374"/>
      <c r="Q14" s="374"/>
      <c r="R14" s="71">
        <f t="shared" ref="R14:R18" si="1">SUM(L14:Q14)</f>
        <v>42</v>
      </c>
      <c r="S14" s="379"/>
      <c r="T14" s="382"/>
      <c r="U14" s="382"/>
    </row>
    <row r="15" spans="2:21">
      <c r="B15" s="379"/>
      <c r="C15" s="380"/>
      <c r="D15" s="374"/>
      <c r="E15" s="374"/>
      <c r="F15" s="374"/>
      <c r="G15" s="374"/>
      <c r="H15" s="374" t="s">
        <v>14</v>
      </c>
      <c r="I15" s="374"/>
      <c r="J15" s="374"/>
      <c r="K15" s="374"/>
      <c r="L15" s="374">
        <v>71</v>
      </c>
      <c r="M15" s="374"/>
      <c r="N15" s="374"/>
      <c r="O15" s="374">
        <v>18</v>
      </c>
      <c r="P15" s="374"/>
      <c r="Q15" s="374"/>
      <c r="R15" s="71">
        <f t="shared" si="1"/>
        <v>89</v>
      </c>
      <c r="S15" s="379"/>
      <c r="T15" s="382"/>
      <c r="U15" s="382"/>
    </row>
    <row r="16" spans="2:21">
      <c r="B16" s="379"/>
      <c r="C16" s="380"/>
      <c r="D16" s="374"/>
      <c r="E16" s="374"/>
      <c r="F16" s="374"/>
      <c r="G16" s="374"/>
      <c r="H16" s="374" t="s">
        <v>15</v>
      </c>
      <c r="I16" s="374"/>
      <c r="J16" s="374"/>
      <c r="K16" s="374"/>
      <c r="L16" s="374">
        <v>19</v>
      </c>
      <c r="M16" s="374"/>
      <c r="N16" s="374"/>
      <c r="O16" s="374">
        <v>7</v>
      </c>
      <c r="P16" s="374"/>
      <c r="Q16" s="374"/>
      <c r="R16" s="71">
        <f t="shared" si="1"/>
        <v>26</v>
      </c>
      <c r="S16" s="379"/>
      <c r="T16" s="382"/>
      <c r="U16" s="382"/>
    </row>
    <row r="17" spans="2:21">
      <c r="B17" s="379"/>
      <c r="C17" s="380"/>
      <c r="D17" s="374"/>
      <c r="E17" s="374"/>
      <c r="F17" s="374"/>
      <c r="G17" s="374"/>
      <c r="H17" s="374" t="s">
        <v>16</v>
      </c>
      <c r="I17" s="374"/>
      <c r="J17" s="374"/>
      <c r="K17" s="374"/>
      <c r="L17" s="374">
        <v>0</v>
      </c>
      <c r="M17" s="374"/>
      <c r="N17" s="374"/>
      <c r="O17" s="374">
        <v>22</v>
      </c>
      <c r="P17" s="374"/>
      <c r="Q17" s="374"/>
      <c r="R17" s="71">
        <f t="shared" si="1"/>
        <v>22</v>
      </c>
      <c r="S17" s="379"/>
      <c r="T17" s="382"/>
      <c r="U17" s="382"/>
    </row>
    <row r="18" spans="2:21">
      <c r="B18" s="379"/>
      <c r="C18" s="380"/>
      <c r="D18" s="374"/>
      <c r="E18" s="374"/>
      <c r="F18" s="374"/>
      <c r="G18" s="374"/>
      <c r="H18" s="374" t="s">
        <v>17</v>
      </c>
      <c r="I18" s="374"/>
      <c r="J18" s="374"/>
      <c r="K18" s="374"/>
      <c r="L18" s="374">
        <v>8</v>
      </c>
      <c r="M18" s="374"/>
      <c r="N18" s="374"/>
      <c r="O18" s="374">
        <v>0</v>
      </c>
      <c r="P18" s="374"/>
      <c r="Q18" s="374"/>
      <c r="R18" s="71">
        <f t="shared" si="1"/>
        <v>8</v>
      </c>
      <c r="S18" s="379"/>
      <c r="T18" s="382"/>
      <c r="U18" s="382"/>
    </row>
    <row r="19" spans="2:21">
      <c r="B19" s="379"/>
      <c r="C19" s="388"/>
      <c r="D19" s="389"/>
      <c r="E19" s="389"/>
      <c r="F19" s="389"/>
      <c r="G19" s="389"/>
      <c r="H19" s="389"/>
      <c r="I19" s="389"/>
      <c r="J19" s="389"/>
      <c r="K19" s="389"/>
      <c r="L19" s="389"/>
      <c r="M19" s="389"/>
      <c r="N19" s="389"/>
      <c r="O19" s="389"/>
      <c r="P19" s="389"/>
      <c r="Q19" s="389"/>
      <c r="R19" s="390"/>
      <c r="S19" s="379"/>
      <c r="T19" s="382"/>
      <c r="U19" s="382"/>
    </row>
    <row r="20" spans="2:21">
      <c r="B20" s="379"/>
      <c r="C20" s="394" t="s">
        <v>18</v>
      </c>
      <c r="D20" s="373"/>
      <c r="E20" s="373"/>
      <c r="F20" s="373"/>
      <c r="G20" s="373"/>
      <c r="H20" s="373" t="s">
        <v>19</v>
      </c>
      <c r="I20" s="373"/>
      <c r="J20" s="373"/>
      <c r="K20" s="373"/>
      <c r="L20" s="373">
        <v>7</v>
      </c>
      <c r="M20" s="373"/>
      <c r="N20" s="373"/>
      <c r="O20" s="373">
        <v>0</v>
      </c>
      <c r="P20" s="373"/>
      <c r="Q20" s="373"/>
      <c r="R20" s="69">
        <f>SUM(L20:Q20)</f>
        <v>7</v>
      </c>
      <c r="S20" s="379"/>
      <c r="T20" s="382"/>
      <c r="U20" s="382"/>
    </row>
    <row r="21" spans="2:21">
      <c r="B21" s="379"/>
      <c r="C21" s="394"/>
      <c r="D21" s="373"/>
      <c r="E21" s="373"/>
      <c r="F21" s="373"/>
      <c r="G21" s="373"/>
      <c r="H21" s="373" t="s">
        <v>20</v>
      </c>
      <c r="I21" s="373"/>
      <c r="J21" s="373"/>
      <c r="K21" s="373"/>
      <c r="L21" s="373">
        <v>1</v>
      </c>
      <c r="M21" s="373"/>
      <c r="N21" s="373"/>
      <c r="O21" s="373">
        <v>0</v>
      </c>
      <c r="P21" s="373"/>
      <c r="Q21" s="373"/>
      <c r="R21" s="69">
        <f t="shared" ref="R21:R23" si="2">SUM(L21:Q21)</f>
        <v>1</v>
      </c>
      <c r="S21" s="379"/>
      <c r="T21" s="382"/>
      <c r="U21" s="382"/>
    </row>
    <row r="22" spans="2:21">
      <c r="B22" s="379"/>
      <c r="C22" s="394"/>
      <c r="D22" s="373"/>
      <c r="E22" s="373"/>
      <c r="F22" s="373"/>
      <c r="G22" s="373"/>
      <c r="H22" s="373" t="s">
        <v>21</v>
      </c>
      <c r="I22" s="373"/>
      <c r="J22" s="373"/>
      <c r="K22" s="373"/>
      <c r="L22" s="373">
        <v>0</v>
      </c>
      <c r="M22" s="373"/>
      <c r="N22" s="373"/>
      <c r="O22" s="373">
        <v>1</v>
      </c>
      <c r="P22" s="373"/>
      <c r="Q22" s="373"/>
      <c r="R22" s="69">
        <f t="shared" si="2"/>
        <v>1</v>
      </c>
      <c r="S22" s="379"/>
      <c r="T22" s="382"/>
      <c r="U22" s="382"/>
    </row>
    <row r="23" spans="2:21" ht="16.5" thickBot="1">
      <c r="B23" s="379"/>
      <c r="C23" s="395"/>
      <c r="D23" s="396"/>
      <c r="E23" s="396"/>
      <c r="F23" s="396"/>
      <c r="G23" s="396"/>
      <c r="H23" s="381" t="s">
        <v>22</v>
      </c>
      <c r="I23" s="381"/>
      <c r="J23" s="381"/>
      <c r="K23" s="381"/>
      <c r="L23" s="381">
        <v>0</v>
      </c>
      <c r="M23" s="381"/>
      <c r="N23" s="381"/>
      <c r="O23" s="381">
        <v>9</v>
      </c>
      <c r="P23" s="381"/>
      <c r="Q23" s="381"/>
      <c r="R23" s="69">
        <f t="shared" si="2"/>
        <v>9</v>
      </c>
      <c r="S23" s="379"/>
      <c r="T23" s="382"/>
      <c r="U23" s="382"/>
    </row>
    <row r="24" spans="2:21" ht="16.5" thickBot="1">
      <c r="B24" s="379"/>
      <c r="C24" s="353"/>
      <c r="D24" s="353"/>
      <c r="E24" s="353"/>
      <c r="F24" s="353"/>
      <c r="G24" s="353"/>
      <c r="H24" s="383" t="s">
        <v>4</v>
      </c>
      <c r="I24" s="384"/>
      <c r="J24" s="384"/>
      <c r="K24" s="385"/>
      <c r="L24" s="357">
        <f>SUM(L7:N9,L11,L13:N18,L20:N23)</f>
        <v>472</v>
      </c>
      <c r="M24" s="358"/>
      <c r="N24" s="358"/>
      <c r="O24" s="357">
        <f>SUM(O7:Q9,O11,O13:Q18,O20:Q23)</f>
        <v>81</v>
      </c>
      <c r="P24" s="358"/>
      <c r="Q24" s="359"/>
      <c r="R24" s="70">
        <f>SUM(R7:R9,R11,R13:R18,R20:R23)</f>
        <v>553</v>
      </c>
      <c r="S24" s="379"/>
    </row>
    <row r="25" spans="2:21">
      <c r="B25" s="379"/>
      <c r="C25" s="379"/>
      <c r="D25" s="379"/>
      <c r="E25" s="379"/>
      <c r="F25" s="379"/>
      <c r="G25" s="379"/>
      <c r="H25" s="379"/>
      <c r="I25" s="379"/>
      <c r="J25" s="379"/>
      <c r="K25" s="379"/>
      <c r="L25" s="379"/>
      <c r="M25" s="379"/>
      <c r="N25" s="379"/>
      <c r="O25" s="379"/>
      <c r="P25" s="379"/>
      <c r="Q25" s="379"/>
      <c r="R25" s="62"/>
      <c r="S25" s="379"/>
    </row>
    <row r="27" spans="2:21" ht="16.5" thickBot="1"/>
    <row r="28" spans="2:21">
      <c r="D28" s="361" t="s">
        <v>0</v>
      </c>
      <c r="E28" s="362"/>
      <c r="F28" s="362"/>
      <c r="G28" s="362"/>
      <c r="H28" s="362"/>
      <c r="I28" s="362" t="s">
        <v>1</v>
      </c>
      <c r="J28" s="362"/>
      <c r="K28" s="362"/>
      <c r="L28" s="362"/>
      <c r="M28" s="362" t="s">
        <v>23</v>
      </c>
      <c r="N28" s="362"/>
      <c r="O28" s="362"/>
      <c r="P28" s="365" t="s">
        <v>24</v>
      </c>
      <c r="Q28" s="365"/>
      <c r="R28" s="365"/>
      <c r="S28" s="367" t="s">
        <v>25</v>
      </c>
    </row>
    <row r="29" spans="2:21">
      <c r="D29" s="363"/>
      <c r="E29" s="364"/>
      <c r="F29" s="364"/>
      <c r="G29" s="364"/>
      <c r="H29" s="364"/>
      <c r="I29" s="364"/>
      <c r="J29" s="364"/>
      <c r="K29" s="364"/>
      <c r="L29" s="364"/>
      <c r="M29" s="364"/>
      <c r="N29" s="364"/>
      <c r="O29" s="364"/>
      <c r="P29" s="366"/>
      <c r="Q29" s="366"/>
      <c r="R29" s="366"/>
      <c r="S29" s="368"/>
    </row>
    <row r="30" spans="2:21">
      <c r="D30" s="363"/>
      <c r="E30" s="364"/>
      <c r="F30" s="364"/>
      <c r="G30" s="364"/>
      <c r="H30" s="364"/>
      <c r="I30" s="364"/>
      <c r="J30" s="364"/>
      <c r="K30" s="364"/>
      <c r="L30" s="364"/>
      <c r="M30" s="364"/>
      <c r="N30" s="364"/>
      <c r="O30" s="364"/>
      <c r="P30" s="366"/>
      <c r="Q30" s="366"/>
      <c r="R30" s="366"/>
      <c r="S30" s="368"/>
    </row>
    <row r="31" spans="2:21">
      <c r="D31" s="360" t="s">
        <v>6</v>
      </c>
      <c r="E31" s="344"/>
      <c r="F31" s="344"/>
      <c r="G31" s="344"/>
      <c r="H31" s="344"/>
      <c r="I31" s="344" t="s">
        <v>7</v>
      </c>
      <c r="J31" s="344"/>
      <c r="K31" s="344"/>
      <c r="L31" s="344"/>
      <c r="M31" s="344">
        <v>83</v>
      </c>
      <c r="N31" s="344"/>
      <c r="O31" s="344"/>
      <c r="P31" s="344">
        <v>17</v>
      </c>
      <c r="Q31" s="344"/>
      <c r="R31" s="344"/>
      <c r="S31" s="87">
        <f t="shared" ref="S31:S40" si="3">(P31/M31)</f>
        <v>0.20481927710843373</v>
      </c>
    </row>
    <row r="32" spans="2:21">
      <c r="D32" s="360"/>
      <c r="E32" s="344"/>
      <c r="F32" s="344"/>
      <c r="G32" s="344"/>
      <c r="H32" s="344"/>
      <c r="I32" s="344" t="s">
        <v>8</v>
      </c>
      <c r="J32" s="344"/>
      <c r="K32" s="344"/>
      <c r="L32" s="344"/>
      <c r="M32" s="344">
        <v>35</v>
      </c>
      <c r="N32" s="344"/>
      <c r="O32" s="344"/>
      <c r="P32" s="344">
        <v>8</v>
      </c>
      <c r="Q32" s="344"/>
      <c r="R32" s="344"/>
      <c r="S32" s="87">
        <f t="shared" si="3"/>
        <v>0.22857142857142856</v>
      </c>
    </row>
    <row r="33" spans="4:33">
      <c r="D33" s="360"/>
      <c r="E33" s="344"/>
      <c r="F33" s="344"/>
      <c r="G33" s="344"/>
      <c r="H33" s="344"/>
      <c r="I33" s="344" t="s">
        <v>9</v>
      </c>
      <c r="J33" s="344"/>
      <c r="K33" s="344"/>
      <c r="L33" s="344"/>
      <c r="M33" s="344">
        <v>26</v>
      </c>
      <c r="N33" s="344"/>
      <c r="O33" s="344"/>
      <c r="P33" s="344">
        <v>4</v>
      </c>
      <c r="Q33" s="344"/>
      <c r="R33" s="344"/>
      <c r="S33" s="87">
        <f t="shared" si="3"/>
        <v>0.15384615384615385</v>
      </c>
    </row>
    <row r="34" spans="4:33">
      <c r="D34" s="360" t="s">
        <v>11</v>
      </c>
      <c r="E34" s="344"/>
      <c r="F34" s="344"/>
      <c r="G34" s="344"/>
      <c r="H34" s="344"/>
      <c r="I34" s="344" t="s">
        <v>12</v>
      </c>
      <c r="J34" s="344"/>
      <c r="K34" s="344"/>
      <c r="L34" s="344"/>
      <c r="M34" s="344">
        <v>111</v>
      </c>
      <c r="N34" s="344"/>
      <c r="O34" s="344"/>
      <c r="P34" s="344">
        <v>22</v>
      </c>
      <c r="Q34" s="344"/>
      <c r="R34" s="344"/>
      <c r="S34" s="87">
        <f t="shared" si="3"/>
        <v>0.1981981981981982</v>
      </c>
    </row>
    <row r="35" spans="4:33">
      <c r="D35" s="360"/>
      <c r="E35" s="344"/>
      <c r="F35" s="344"/>
      <c r="G35" s="344"/>
      <c r="H35" s="344"/>
      <c r="I35" s="344" t="s">
        <v>13</v>
      </c>
      <c r="J35" s="344"/>
      <c r="K35" s="344"/>
      <c r="L35" s="344"/>
      <c r="M35" s="344">
        <v>42</v>
      </c>
      <c r="N35" s="344"/>
      <c r="O35" s="344"/>
      <c r="P35" s="344">
        <v>15</v>
      </c>
      <c r="Q35" s="344"/>
      <c r="R35" s="344"/>
      <c r="S35" s="87">
        <f t="shared" si="3"/>
        <v>0.35714285714285715</v>
      </c>
    </row>
    <row r="36" spans="4:33">
      <c r="D36" s="360"/>
      <c r="E36" s="344"/>
      <c r="F36" s="344"/>
      <c r="G36" s="344"/>
      <c r="H36" s="344"/>
      <c r="I36" s="344" t="s">
        <v>14</v>
      </c>
      <c r="J36" s="344"/>
      <c r="K36" s="344"/>
      <c r="L36" s="344"/>
      <c r="M36" s="344">
        <v>89</v>
      </c>
      <c r="N36" s="344"/>
      <c r="O36" s="344"/>
      <c r="P36" s="344">
        <v>14</v>
      </c>
      <c r="Q36" s="344"/>
      <c r="R36" s="344"/>
      <c r="S36" s="87">
        <f t="shared" si="3"/>
        <v>0.15730337078651685</v>
      </c>
    </row>
    <row r="37" spans="4:33">
      <c r="D37" s="360"/>
      <c r="E37" s="344"/>
      <c r="F37" s="344"/>
      <c r="G37" s="344"/>
      <c r="H37" s="344"/>
      <c r="I37" s="344" t="s">
        <v>15</v>
      </c>
      <c r="J37" s="344"/>
      <c r="K37" s="344"/>
      <c r="L37" s="344"/>
      <c r="M37" s="344">
        <v>26</v>
      </c>
      <c r="N37" s="344"/>
      <c r="O37" s="344"/>
      <c r="P37" s="344">
        <v>2</v>
      </c>
      <c r="Q37" s="344"/>
      <c r="R37" s="344"/>
      <c r="S37" s="87">
        <f t="shared" si="3"/>
        <v>7.6923076923076927E-2</v>
      </c>
    </row>
    <row r="38" spans="4:33">
      <c r="D38" s="360"/>
      <c r="E38" s="344"/>
      <c r="F38" s="344"/>
      <c r="G38" s="344"/>
      <c r="H38" s="344"/>
      <c r="I38" s="344" t="s">
        <v>16</v>
      </c>
      <c r="J38" s="344"/>
      <c r="K38" s="344"/>
      <c r="L38" s="344"/>
      <c r="M38" s="344">
        <v>22</v>
      </c>
      <c r="N38" s="344"/>
      <c r="O38" s="344"/>
      <c r="P38" s="344">
        <v>1</v>
      </c>
      <c r="Q38" s="344"/>
      <c r="R38" s="344"/>
      <c r="S38" s="87">
        <f t="shared" si="3"/>
        <v>4.5454545454545456E-2</v>
      </c>
    </row>
    <row r="39" spans="4:33" ht="16.5" thickBot="1">
      <c r="D39" s="360"/>
      <c r="E39" s="344"/>
      <c r="F39" s="344"/>
      <c r="G39" s="344"/>
      <c r="H39" s="344"/>
      <c r="I39" s="344" t="s">
        <v>17</v>
      </c>
      <c r="J39" s="344"/>
      <c r="K39" s="344"/>
      <c r="L39" s="344"/>
      <c r="M39" s="344">
        <v>8</v>
      </c>
      <c r="N39" s="344"/>
      <c r="O39" s="344"/>
      <c r="P39" s="344">
        <v>3</v>
      </c>
      <c r="Q39" s="344"/>
      <c r="R39" s="344"/>
      <c r="S39" s="87">
        <f t="shared" si="3"/>
        <v>0.375</v>
      </c>
    </row>
    <row r="40" spans="4:33" ht="16.5" thickBot="1">
      <c r="D40" s="353"/>
      <c r="E40" s="353"/>
      <c r="F40" s="353"/>
      <c r="G40" s="353"/>
      <c r="H40" s="353"/>
      <c r="I40" s="354" t="s">
        <v>4</v>
      </c>
      <c r="J40" s="355"/>
      <c r="K40" s="355"/>
      <c r="L40" s="356"/>
      <c r="M40" s="357">
        <f>SUM(M31:O39)</f>
        <v>442</v>
      </c>
      <c r="N40" s="358"/>
      <c r="O40" s="358"/>
      <c r="P40" s="357">
        <f>SUM(P31:R39)</f>
        <v>86</v>
      </c>
      <c r="Q40" s="358"/>
      <c r="R40" s="359"/>
      <c r="S40" s="87">
        <f t="shared" si="3"/>
        <v>0.19457013574660634</v>
      </c>
    </row>
    <row r="45" spans="4:33" ht="77.650000000000006" customHeight="1">
      <c r="D45" s="351" t="s">
        <v>0</v>
      </c>
      <c r="E45" s="351"/>
      <c r="F45" s="351"/>
      <c r="G45" s="351"/>
      <c r="H45" s="351"/>
      <c r="I45" s="352" t="s">
        <v>23</v>
      </c>
      <c r="J45" s="351"/>
      <c r="K45" s="351"/>
      <c r="L45" s="349" t="s">
        <v>26</v>
      </c>
      <c r="M45" s="349"/>
      <c r="N45" s="349"/>
      <c r="O45" s="349" t="s">
        <v>27</v>
      </c>
      <c r="P45" s="349"/>
      <c r="Q45" s="349"/>
      <c r="T45" s="351" t="s">
        <v>0</v>
      </c>
      <c r="U45" s="351"/>
      <c r="V45" s="351"/>
      <c r="W45" s="351"/>
      <c r="X45" s="351"/>
      <c r="Y45" s="352" t="s">
        <v>23</v>
      </c>
      <c r="Z45" s="351"/>
      <c r="AA45" s="351"/>
      <c r="AB45" s="349" t="s">
        <v>26</v>
      </c>
      <c r="AC45" s="349"/>
      <c r="AD45" s="349"/>
      <c r="AE45" s="349" t="s">
        <v>27</v>
      </c>
      <c r="AF45" s="349"/>
      <c r="AG45" s="349"/>
    </row>
    <row r="46" spans="4:33">
      <c r="D46" s="351"/>
      <c r="E46" s="351"/>
      <c r="F46" s="351"/>
      <c r="G46" s="351"/>
      <c r="H46" s="351"/>
      <c r="I46" s="352"/>
      <c r="J46" s="351"/>
      <c r="K46" s="351"/>
      <c r="L46" s="349"/>
      <c r="M46" s="349"/>
      <c r="N46" s="349"/>
      <c r="O46" s="349"/>
      <c r="P46" s="349"/>
      <c r="Q46" s="349"/>
      <c r="T46" s="351"/>
      <c r="U46" s="351"/>
      <c r="V46" s="351"/>
      <c r="W46" s="351"/>
      <c r="X46" s="351"/>
      <c r="Y46" s="352"/>
      <c r="Z46" s="351"/>
      <c r="AA46" s="351"/>
      <c r="AB46" s="349"/>
      <c r="AC46" s="349"/>
      <c r="AD46" s="349"/>
      <c r="AE46" s="349"/>
      <c r="AF46" s="349"/>
      <c r="AG46" s="349"/>
    </row>
    <row r="47" spans="4:33" ht="18.75">
      <c r="D47" s="350" t="s">
        <v>6</v>
      </c>
      <c r="E47" s="350"/>
      <c r="F47" s="350"/>
      <c r="G47" s="350"/>
      <c r="H47" s="350"/>
      <c r="I47" s="347">
        <f>COUNTA('Industrial Automation'!D3:D153)</f>
        <v>151</v>
      </c>
      <c r="J47" s="345"/>
      <c r="K47" s="345"/>
      <c r="L47" s="347">
        <f>COUNTIF('Industrial Automation'!C3:C153,"Yes")</f>
        <v>30</v>
      </c>
      <c r="M47" s="345"/>
      <c r="N47" s="345"/>
      <c r="O47" s="346">
        <f>L47/I47</f>
        <v>0.19867549668874171</v>
      </c>
      <c r="P47" s="346"/>
      <c r="Q47" s="346"/>
      <c r="T47" s="350" t="s">
        <v>6</v>
      </c>
      <c r="U47" s="350"/>
      <c r="V47" s="350"/>
      <c r="W47" s="350"/>
      <c r="X47" s="350"/>
      <c r="Y47" s="347">
        <v>146</v>
      </c>
      <c r="Z47" s="345"/>
      <c r="AA47" s="345"/>
      <c r="AB47" s="347">
        <v>30</v>
      </c>
      <c r="AC47" s="345"/>
      <c r="AD47" s="345"/>
      <c r="AE47" s="346">
        <v>0.20547945205479451</v>
      </c>
      <c r="AF47" s="346"/>
      <c r="AG47" s="346"/>
    </row>
    <row r="48" spans="4:33" ht="18.75">
      <c r="D48" s="345" t="s">
        <v>11</v>
      </c>
      <c r="E48" s="345"/>
      <c r="F48" s="345"/>
      <c r="G48" s="345"/>
      <c r="H48" s="345"/>
      <c r="I48" s="347">
        <f>COUNTA('Digital Power'!D3:D172)+COUNTA('Digital Building'!A3:A50)+COUNTA('Secure Power (OLD)'!E3:E95)+COUNTA('Power Products'!E3:E24)+COUNTA('Power System'!D3:D24)+COUNTA('Home &amp; Distribution'!C3:C7)</f>
        <v>354</v>
      </c>
      <c r="J48" s="345"/>
      <c r="K48" s="345"/>
      <c r="L48" s="347" t="e">
        <f>COUNTIF('Digital Power'!#REF!, "Yes")+COUNTIF('Digital Building'!#REF!, "Yes")+COUNTIF('Secure Power (OLD)'!A3:A95, "Yes")+COUNTIF('Power Products'!#REF!, "Yes")+COUNTIF('Power System'!#REF!, "Yes")+COUNTIF('Home &amp; Distribution'!#REF!, "Yes")</f>
        <v>#REF!</v>
      </c>
      <c r="M48" s="345"/>
      <c r="N48" s="345"/>
      <c r="O48" s="346" t="e">
        <f>L48/I48</f>
        <v>#REF!</v>
      </c>
      <c r="P48" s="346"/>
      <c r="Q48" s="346"/>
      <c r="T48" s="345" t="s">
        <v>11</v>
      </c>
      <c r="U48" s="345"/>
      <c r="V48" s="345"/>
      <c r="W48" s="345"/>
      <c r="X48" s="345"/>
      <c r="Y48" s="345">
        <v>298</v>
      </c>
      <c r="Z48" s="345"/>
      <c r="AA48" s="345"/>
      <c r="AB48" s="345">
        <v>57</v>
      </c>
      <c r="AC48" s="345"/>
      <c r="AD48" s="345"/>
      <c r="AE48" s="346">
        <v>0.1912751677852349</v>
      </c>
      <c r="AF48" s="346"/>
      <c r="AG48" s="346"/>
    </row>
    <row r="49" spans="4:33" ht="18.75">
      <c r="D49" s="92"/>
      <c r="E49" s="92"/>
      <c r="F49" s="92"/>
      <c r="G49" s="92"/>
      <c r="H49" s="92"/>
      <c r="I49" s="345">
        <f>I47+I48</f>
        <v>505</v>
      </c>
      <c r="J49" s="345"/>
      <c r="K49" s="345"/>
      <c r="L49" s="345" t="e">
        <f>L47+L48</f>
        <v>#REF!</v>
      </c>
      <c r="M49" s="345"/>
      <c r="N49" s="345"/>
      <c r="O49" s="346" t="e">
        <f>L49/I49</f>
        <v>#REF!</v>
      </c>
      <c r="P49" s="346"/>
      <c r="Q49" s="346"/>
      <c r="T49" s="92"/>
      <c r="U49" s="92"/>
      <c r="V49" s="92"/>
      <c r="W49" s="92"/>
      <c r="X49" s="92"/>
      <c r="Y49" s="345">
        <v>444</v>
      </c>
      <c r="Z49" s="345"/>
      <c r="AA49" s="345"/>
      <c r="AB49" s="345">
        <v>87</v>
      </c>
      <c r="AC49" s="345"/>
      <c r="AD49" s="345"/>
      <c r="AE49" s="346">
        <v>0.19594594594594594</v>
      </c>
      <c r="AF49" s="346"/>
      <c r="AG49" s="346"/>
    </row>
    <row r="51" spans="4:33">
      <c r="E51" s="344" t="s">
        <v>12</v>
      </c>
      <c r="F51" s="344"/>
      <c r="G51" s="344"/>
      <c r="H51" s="344"/>
      <c r="I51" s="347">
        <f>COUNTA('Digital Power'!D3:D172)</f>
        <v>170</v>
      </c>
      <c r="J51" s="348"/>
      <c r="K51" s="348"/>
      <c r="L51" s="348" t="e">
        <f>COUNTIF('Digital Power'!#REF!, "Yes")</f>
        <v>#REF!</v>
      </c>
      <c r="M51" s="348"/>
      <c r="N51" s="348"/>
      <c r="O51" s="341" t="e">
        <f t="shared" ref="O51:O57" si="4">L51/I51</f>
        <v>#REF!</v>
      </c>
      <c r="P51" s="341"/>
      <c r="Q51" s="341"/>
      <c r="U51" s="344" t="s">
        <v>12</v>
      </c>
      <c r="V51" s="344"/>
      <c r="W51" s="344"/>
      <c r="X51" s="344"/>
      <c r="Y51" s="348">
        <v>111</v>
      </c>
      <c r="Z51" s="348"/>
      <c r="AA51" s="348"/>
      <c r="AB51" s="348">
        <v>22</v>
      </c>
      <c r="AC51" s="348"/>
      <c r="AD51" s="348"/>
      <c r="AE51" s="341">
        <v>0.1981981981981982</v>
      </c>
      <c r="AF51" s="341"/>
      <c r="AG51" s="341"/>
    </row>
    <row r="52" spans="4:33">
      <c r="E52" s="344" t="s">
        <v>13</v>
      </c>
      <c r="F52" s="344"/>
      <c r="G52" s="344"/>
      <c r="H52" s="344"/>
      <c r="I52" s="347">
        <f>COUNTA('Digital Building'!A3:A50)</f>
        <v>44</v>
      </c>
      <c r="J52" s="348"/>
      <c r="K52" s="348"/>
      <c r="L52" s="348" t="e">
        <f>COUNTIF('Digital Building'!#REF!, "Yes")</f>
        <v>#REF!</v>
      </c>
      <c r="M52" s="348"/>
      <c r="N52" s="348"/>
      <c r="O52" s="341" t="e">
        <f t="shared" si="4"/>
        <v>#REF!</v>
      </c>
      <c r="P52" s="341"/>
      <c r="Q52" s="341"/>
      <c r="U52" s="344" t="s">
        <v>13</v>
      </c>
      <c r="V52" s="344"/>
      <c r="W52" s="344"/>
      <c r="X52" s="344"/>
      <c r="Y52" s="348">
        <v>42</v>
      </c>
      <c r="Z52" s="348"/>
      <c r="AA52" s="348"/>
      <c r="AB52" s="348">
        <v>15</v>
      </c>
      <c r="AC52" s="348"/>
      <c r="AD52" s="348"/>
      <c r="AE52" s="341">
        <v>0.35714285714285715</v>
      </c>
      <c r="AF52" s="341"/>
      <c r="AG52" s="341"/>
    </row>
    <row r="53" spans="4:33">
      <c r="E53" s="344" t="s">
        <v>14</v>
      </c>
      <c r="F53" s="344"/>
      <c r="G53" s="344"/>
      <c r="H53" s="344"/>
      <c r="I53" s="347">
        <f>COUNTA('Secure Power (OLD)'!E3:E95)</f>
        <v>93</v>
      </c>
      <c r="J53" s="348"/>
      <c r="K53" s="348"/>
      <c r="L53" s="347">
        <f>COUNTIF('Secure Power (OLD)'!A3:A95, "Yes")</f>
        <v>4</v>
      </c>
      <c r="M53" s="348"/>
      <c r="N53" s="348"/>
      <c r="O53" s="341">
        <f t="shared" si="4"/>
        <v>4.3010752688172046E-2</v>
      </c>
      <c r="P53" s="341"/>
      <c r="Q53" s="341"/>
      <c r="U53" s="344" t="s">
        <v>14</v>
      </c>
      <c r="V53" s="344"/>
      <c r="W53" s="344"/>
      <c r="X53" s="344"/>
      <c r="Y53" s="348">
        <v>89</v>
      </c>
      <c r="Z53" s="348"/>
      <c r="AA53" s="348"/>
      <c r="AB53" s="348">
        <v>14</v>
      </c>
      <c r="AC53" s="348"/>
      <c r="AD53" s="348"/>
      <c r="AE53" s="341">
        <v>0.15730337078651685</v>
      </c>
      <c r="AF53" s="341"/>
      <c r="AG53" s="341"/>
    </row>
    <row r="54" spans="4:33">
      <c r="E54" s="344" t="s">
        <v>15</v>
      </c>
      <c r="F54" s="344"/>
      <c r="G54" s="344"/>
      <c r="H54" s="344"/>
      <c r="I54" s="347">
        <f>COUNTA('Power Products'!E3:E24)</f>
        <v>22</v>
      </c>
      <c r="J54" s="348"/>
      <c r="K54" s="348"/>
      <c r="L54" s="348" t="e">
        <f>COUNTIF('Power Products'!#REF!, "Yes")</f>
        <v>#REF!</v>
      </c>
      <c r="M54" s="348"/>
      <c r="N54" s="348"/>
      <c r="O54" s="341" t="e">
        <f t="shared" si="4"/>
        <v>#REF!</v>
      </c>
      <c r="P54" s="341"/>
      <c r="Q54" s="341"/>
      <c r="U54" s="344" t="s">
        <v>15</v>
      </c>
      <c r="V54" s="344"/>
      <c r="W54" s="344"/>
      <c r="X54" s="344"/>
      <c r="Y54" s="348">
        <v>26</v>
      </c>
      <c r="Z54" s="348"/>
      <c r="AA54" s="348"/>
      <c r="AB54" s="348">
        <v>2</v>
      </c>
      <c r="AC54" s="348"/>
      <c r="AD54" s="348"/>
      <c r="AE54" s="341">
        <v>7.6923076923076927E-2</v>
      </c>
      <c r="AF54" s="341"/>
      <c r="AG54" s="341"/>
    </row>
    <row r="55" spans="4:33">
      <c r="E55" s="344" t="s">
        <v>16</v>
      </c>
      <c r="F55" s="344"/>
      <c r="G55" s="344"/>
      <c r="H55" s="344"/>
      <c r="I55" s="348">
        <f>COUNTA('Power System'!D3:D24)</f>
        <v>22</v>
      </c>
      <c r="J55" s="348"/>
      <c r="K55" s="348"/>
      <c r="L55" s="348" t="e">
        <f>COUNTIF('Power System'!#REF!, "Yes")</f>
        <v>#REF!</v>
      </c>
      <c r="M55" s="348"/>
      <c r="N55" s="348"/>
      <c r="O55" s="341" t="e">
        <f t="shared" si="4"/>
        <v>#REF!</v>
      </c>
      <c r="P55" s="341"/>
      <c r="Q55" s="341"/>
      <c r="U55" s="344" t="s">
        <v>16</v>
      </c>
      <c r="V55" s="344"/>
      <c r="W55" s="344"/>
      <c r="X55" s="344"/>
      <c r="Y55" s="348">
        <v>22</v>
      </c>
      <c r="Z55" s="348"/>
      <c r="AA55" s="348"/>
      <c r="AB55" s="348">
        <v>1</v>
      </c>
      <c r="AC55" s="348"/>
      <c r="AD55" s="348"/>
      <c r="AE55" s="341">
        <v>4.5454545454545456E-2</v>
      </c>
      <c r="AF55" s="341"/>
      <c r="AG55" s="341"/>
    </row>
    <row r="56" spans="4:33">
      <c r="E56" s="344" t="s">
        <v>17</v>
      </c>
      <c r="F56" s="344"/>
      <c r="G56" s="344"/>
      <c r="H56" s="344"/>
      <c r="I56" s="347">
        <f>COUNTA('Home &amp; Distribution'!C3:C7)</f>
        <v>3</v>
      </c>
      <c r="J56" s="348"/>
      <c r="K56" s="348"/>
      <c r="L56" s="348" t="e">
        <f>+COUNTIF('Home &amp; Distribution'!#REF!, "Yes")</f>
        <v>#REF!</v>
      </c>
      <c r="M56" s="348"/>
      <c r="N56" s="348"/>
      <c r="O56" s="341" t="e">
        <f t="shared" si="4"/>
        <v>#REF!</v>
      </c>
      <c r="P56" s="341"/>
      <c r="Q56" s="341"/>
      <c r="U56" s="344" t="s">
        <v>17</v>
      </c>
      <c r="V56" s="344"/>
      <c r="W56" s="344"/>
      <c r="X56" s="344"/>
      <c r="Y56" s="348">
        <v>8</v>
      </c>
      <c r="Z56" s="348"/>
      <c r="AA56" s="348"/>
      <c r="AB56" s="348">
        <v>3</v>
      </c>
      <c r="AC56" s="348"/>
      <c r="AD56" s="348"/>
      <c r="AE56" s="341">
        <v>0.375</v>
      </c>
      <c r="AF56" s="341"/>
      <c r="AG56" s="341"/>
    </row>
    <row r="57" spans="4:33" ht="18.75">
      <c r="I57" s="342">
        <f>SUM(I51:K56)</f>
        <v>354</v>
      </c>
      <c r="J57" s="342"/>
      <c r="K57" s="342"/>
      <c r="L57" s="342" t="e">
        <f>SUM(L51:N56)</f>
        <v>#REF!</v>
      </c>
      <c r="M57" s="342"/>
      <c r="N57" s="342"/>
      <c r="O57" s="343" t="e">
        <f t="shared" si="4"/>
        <v>#REF!</v>
      </c>
      <c r="P57" s="343"/>
      <c r="Q57" s="343"/>
      <c r="Y57" s="342">
        <v>298</v>
      </c>
      <c r="Z57" s="342"/>
      <c r="AA57" s="342"/>
      <c r="AB57" s="342">
        <v>57</v>
      </c>
      <c r="AC57" s="342"/>
      <c r="AD57" s="342"/>
      <c r="AE57" s="343">
        <v>0.1912751677852349</v>
      </c>
      <c r="AF57" s="343"/>
      <c r="AG57" s="343"/>
    </row>
  </sheetData>
  <mergeCells count="185">
    <mergeCell ref="U56:X56"/>
    <mergeCell ref="Y56:AA56"/>
    <mergeCell ref="AB56:AD56"/>
    <mergeCell ref="AE56:AG56"/>
    <mergeCell ref="Y57:AA57"/>
    <mergeCell ref="AB57:AD57"/>
    <mergeCell ref="AE57:AG57"/>
    <mergeCell ref="U53:X53"/>
    <mergeCell ref="Y53:AA53"/>
    <mergeCell ref="AB53:AD53"/>
    <mergeCell ref="AE53:AG53"/>
    <mergeCell ref="U54:X54"/>
    <mergeCell ref="Y54:AA54"/>
    <mergeCell ref="AB54:AD54"/>
    <mergeCell ref="AE54:AG54"/>
    <mergeCell ref="U55:X55"/>
    <mergeCell ref="Y55:AA55"/>
    <mergeCell ref="AB55:AD55"/>
    <mergeCell ref="AE55:AG55"/>
    <mergeCell ref="Y49:AA49"/>
    <mergeCell ref="AB49:AD49"/>
    <mergeCell ref="AE49:AG49"/>
    <mergeCell ref="U51:X51"/>
    <mergeCell ref="Y51:AA51"/>
    <mergeCell ref="AB51:AD51"/>
    <mergeCell ref="AE51:AG51"/>
    <mergeCell ref="U52:X52"/>
    <mergeCell ref="Y52:AA52"/>
    <mergeCell ref="AB52:AD52"/>
    <mergeCell ref="AE52:AG52"/>
    <mergeCell ref="T45:X46"/>
    <mergeCell ref="Y45:AA46"/>
    <mergeCell ref="AB45:AD46"/>
    <mergeCell ref="AE45:AG46"/>
    <mergeCell ref="T47:X47"/>
    <mergeCell ref="Y47:AA47"/>
    <mergeCell ref="AB47:AD47"/>
    <mergeCell ref="AE47:AG47"/>
    <mergeCell ref="T48:X48"/>
    <mergeCell ref="Y48:AA48"/>
    <mergeCell ref="AB48:AD48"/>
    <mergeCell ref="AE48:AG48"/>
    <mergeCell ref="T4:U23"/>
    <mergeCell ref="S2:S25"/>
    <mergeCell ref="C24:G24"/>
    <mergeCell ref="H24:K24"/>
    <mergeCell ref="L24:N24"/>
    <mergeCell ref="O24:Q24"/>
    <mergeCell ref="C25:Q25"/>
    <mergeCell ref="C2:R3"/>
    <mergeCell ref="R4:R6"/>
    <mergeCell ref="C10:R10"/>
    <mergeCell ref="C12:R12"/>
    <mergeCell ref="C19:R19"/>
    <mergeCell ref="L22:N22"/>
    <mergeCell ref="C20:G23"/>
    <mergeCell ref="H23:K23"/>
    <mergeCell ref="O23:Q23"/>
    <mergeCell ref="L17:N17"/>
    <mergeCell ref="H8:K8"/>
    <mergeCell ref="H11:K11"/>
    <mergeCell ref="H9:K9"/>
    <mergeCell ref="O4:Q6"/>
    <mergeCell ref="B2:B25"/>
    <mergeCell ref="H18:K18"/>
    <mergeCell ref="C13:G18"/>
    <mergeCell ref="H13:K13"/>
    <mergeCell ref="H14:K14"/>
    <mergeCell ref="H15:K15"/>
    <mergeCell ref="H16:K16"/>
    <mergeCell ref="H17:K17"/>
    <mergeCell ref="O20:Q20"/>
    <mergeCell ref="O21:Q21"/>
    <mergeCell ref="O22:Q22"/>
    <mergeCell ref="H7:K7"/>
    <mergeCell ref="O7:Q7"/>
    <mergeCell ref="L11:N11"/>
    <mergeCell ref="O11:Q11"/>
    <mergeCell ref="L23:N23"/>
    <mergeCell ref="O13:Q13"/>
    <mergeCell ref="O14:Q14"/>
    <mergeCell ref="O15:Q15"/>
    <mergeCell ref="O16:Q16"/>
    <mergeCell ref="O17:Q17"/>
    <mergeCell ref="O18:Q18"/>
    <mergeCell ref="L18:N18"/>
    <mergeCell ref="D28:H30"/>
    <mergeCell ref="I28:L30"/>
    <mergeCell ref="M28:O30"/>
    <mergeCell ref="P28:R30"/>
    <mergeCell ref="S28:S30"/>
    <mergeCell ref="C4:G6"/>
    <mergeCell ref="H4:K6"/>
    <mergeCell ref="L4:N6"/>
    <mergeCell ref="L20:N20"/>
    <mergeCell ref="L21:N21"/>
    <mergeCell ref="L16:N16"/>
    <mergeCell ref="L15:N15"/>
    <mergeCell ref="L14:N14"/>
    <mergeCell ref="L13:N13"/>
    <mergeCell ref="L7:N7"/>
    <mergeCell ref="L8:N8"/>
    <mergeCell ref="L9:N9"/>
    <mergeCell ref="C7:G9"/>
    <mergeCell ref="C11:G11"/>
    <mergeCell ref="O8:Q8"/>
    <mergeCell ref="O9:Q9"/>
    <mergeCell ref="H22:K22"/>
    <mergeCell ref="H20:K20"/>
    <mergeCell ref="H21:K21"/>
    <mergeCell ref="D31:H33"/>
    <mergeCell ref="I31:L31"/>
    <mergeCell ref="M31:O31"/>
    <mergeCell ref="P31:R31"/>
    <mergeCell ref="I32:L32"/>
    <mergeCell ref="M32:O32"/>
    <mergeCell ref="P32:R32"/>
    <mergeCell ref="I33:L33"/>
    <mergeCell ref="M33:O33"/>
    <mergeCell ref="P33:R33"/>
    <mergeCell ref="D40:H40"/>
    <mergeCell ref="I40:L40"/>
    <mergeCell ref="M40:O40"/>
    <mergeCell ref="P40:R40"/>
    <mergeCell ref="P38:R38"/>
    <mergeCell ref="I39:L39"/>
    <mergeCell ref="M39:O39"/>
    <mergeCell ref="P39:R39"/>
    <mergeCell ref="D34:H39"/>
    <mergeCell ref="I34:L34"/>
    <mergeCell ref="M34:O34"/>
    <mergeCell ref="P34:R34"/>
    <mergeCell ref="I35:L35"/>
    <mergeCell ref="M35:O35"/>
    <mergeCell ref="P35:R35"/>
    <mergeCell ref="I36:L36"/>
    <mergeCell ref="M36:O36"/>
    <mergeCell ref="P36:R36"/>
    <mergeCell ref="I37:L37"/>
    <mergeCell ref="M37:O37"/>
    <mergeCell ref="P37:R37"/>
    <mergeCell ref="I38:L38"/>
    <mergeCell ref="M38:O38"/>
    <mergeCell ref="O52:Q52"/>
    <mergeCell ref="O53:Q53"/>
    <mergeCell ref="O54:Q54"/>
    <mergeCell ref="O55:Q55"/>
    <mergeCell ref="D48:H48"/>
    <mergeCell ref="L45:N46"/>
    <mergeCell ref="D47:H47"/>
    <mergeCell ref="D45:H46"/>
    <mergeCell ref="L47:N47"/>
    <mergeCell ref="L48:N48"/>
    <mergeCell ref="I45:K46"/>
    <mergeCell ref="I47:K47"/>
    <mergeCell ref="I48:K48"/>
    <mergeCell ref="O45:Q46"/>
    <mergeCell ref="O47:Q47"/>
    <mergeCell ref="O48:Q48"/>
    <mergeCell ref="E51:H51"/>
    <mergeCell ref="E52:H52"/>
    <mergeCell ref="O56:Q56"/>
    <mergeCell ref="I57:K57"/>
    <mergeCell ref="L57:N57"/>
    <mergeCell ref="O57:Q57"/>
    <mergeCell ref="E53:H53"/>
    <mergeCell ref="E54:H54"/>
    <mergeCell ref="E55:H55"/>
    <mergeCell ref="E56:H56"/>
    <mergeCell ref="I49:K49"/>
    <mergeCell ref="L49:N49"/>
    <mergeCell ref="O49:Q49"/>
    <mergeCell ref="I51:K51"/>
    <mergeCell ref="I52:K52"/>
    <mergeCell ref="I53:K53"/>
    <mergeCell ref="I55:K55"/>
    <mergeCell ref="I54:K54"/>
    <mergeCell ref="I56:K56"/>
    <mergeCell ref="L51:N51"/>
    <mergeCell ref="L52:N52"/>
    <mergeCell ref="L53:N53"/>
    <mergeCell ref="L55:N55"/>
    <mergeCell ref="L54:N54"/>
    <mergeCell ref="L56:N56"/>
    <mergeCell ref="O51:Q51"/>
  </mergeCells>
  <phoneticPr fontId="2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E320-5D83-45C1-B78A-9018ED7B3329}">
  <dimension ref="B1:L37"/>
  <sheetViews>
    <sheetView zoomScale="145" zoomScaleNormal="145" workbookViewId="0">
      <selection activeCell="D9" sqref="C9:D11"/>
    </sheetView>
  </sheetViews>
  <sheetFormatPr baseColWidth="10" defaultColWidth="8.85546875" defaultRowHeight="15"/>
  <cols>
    <col min="1" max="1" width="8.85546875" style="89"/>
    <col min="2" max="2" width="22" style="89" bestFit="1" customWidth="1"/>
    <col min="3" max="3" width="26.7109375" style="89" bestFit="1" customWidth="1"/>
    <col min="4" max="4" width="15.85546875" style="89" customWidth="1"/>
    <col min="5" max="5" width="14.42578125" style="89" customWidth="1"/>
    <col min="6" max="7" width="15.5703125" style="89" customWidth="1"/>
    <col min="8" max="8" width="21.42578125" style="88" customWidth="1"/>
    <col min="9" max="9" width="10.5703125" style="88" customWidth="1"/>
    <col min="10" max="10" width="10.5703125" style="89" customWidth="1"/>
    <col min="11" max="16384" width="8.85546875" style="89"/>
  </cols>
  <sheetData>
    <row r="1" spans="2:12" s="88" customFormat="1"/>
    <row r="2" spans="2:12" s="88" customFormat="1"/>
    <row r="3" spans="2:12" s="88" customFormat="1" ht="15.6" customHeight="1">
      <c r="B3" s="402" t="s">
        <v>28</v>
      </c>
      <c r="C3" s="402" t="s">
        <v>29</v>
      </c>
      <c r="D3" s="402" t="s">
        <v>30</v>
      </c>
      <c r="E3" s="402" t="s">
        <v>31</v>
      </c>
      <c r="F3" s="402"/>
      <c r="G3" s="402"/>
      <c r="H3" s="402"/>
      <c r="I3" s="406" t="s">
        <v>32</v>
      </c>
      <c r="J3" s="407"/>
      <c r="L3" s="398" t="s">
        <v>1347</v>
      </c>
    </row>
    <row r="4" spans="2:12" s="88" customFormat="1" ht="30">
      <c r="B4" s="408"/>
      <c r="C4" s="408"/>
      <c r="D4" s="408"/>
      <c r="E4" s="132" t="s">
        <v>33</v>
      </c>
      <c r="F4" s="132" t="s">
        <v>34</v>
      </c>
      <c r="G4" s="132" t="s">
        <v>35</v>
      </c>
      <c r="H4" s="132" t="s">
        <v>36</v>
      </c>
      <c r="I4" s="406"/>
      <c r="J4" s="407"/>
      <c r="L4" s="398"/>
    </row>
    <row r="5" spans="2:12">
      <c r="B5" s="133" t="s">
        <v>6</v>
      </c>
      <c r="C5" s="134" t="s">
        <v>8</v>
      </c>
      <c r="D5" s="403">
        <f>'Industrial Automation'!D1</f>
        <v>151</v>
      </c>
      <c r="E5" s="403">
        <f>'Industrial Automation'!B1</f>
        <v>43</v>
      </c>
      <c r="F5" s="403">
        <f>'Industrial Automation'!C1</f>
        <v>30</v>
      </c>
      <c r="G5" s="403">
        <v>11</v>
      </c>
      <c r="H5" s="403">
        <v>19</v>
      </c>
      <c r="I5" s="403">
        <f>E5+H5</f>
        <v>62</v>
      </c>
      <c r="J5" s="400">
        <f>(E5+H5)/D5</f>
        <v>0.41059602649006621</v>
      </c>
      <c r="L5" s="397" t="s">
        <v>1344</v>
      </c>
    </row>
    <row r="6" spans="2:12">
      <c r="B6" s="135"/>
      <c r="C6" s="136" t="s">
        <v>37</v>
      </c>
      <c r="D6" s="404"/>
      <c r="E6" s="404"/>
      <c r="F6" s="404"/>
      <c r="G6" s="404"/>
      <c r="H6" s="404"/>
      <c r="I6" s="404"/>
      <c r="J6" s="401"/>
      <c r="L6" s="397"/>
    </row>
    <row r="7" spans="2:12">
      <c r="B7" s="135"/>
      <c r="C7" s="330" t="s">
        <v>7</v>
      </c>
      <c r="D7" s="405"/>
      <c r="E7" s="405"/>
      <c r="F7" s="405"/>
      <c r="G7" s="405"/>
      <c r="H7" s="405"/>
      <c r="I7" s="405"/>
      <c r="J7" s="401"/>
      <c r="L7" s="397"/>
    </row>
    <row r="8" spans="2:12">
      <c r="B8" s="146" t="s">
        <v>11</v>
      </c>
      <c r="C8" s="147" t="s">
        <v>39</v>
      </c>
      <c r="D8" s="148">
        <f>'Digital Building'!C1</f>
        <v>48</v>
      </c>
      <c r="E8" s="148">
        <f>'Digital Building'!A1</f>
        <v>11</v>
      </c>
      <c r="F8" s="148">
        <f>'Digital Building'!B1</f>
        <v>15</v>
      </c>
      <c r="G8" s="148">
        <f>COUNTIFS('Digital Building'!A:A,"Yes",'Digital Building'!B:B,"Yes")</f>
        <v>5</v>
      </c>
      <c r="H8" s="148">
        <f>COUNTIFS('Digital Building'!A:A,"No",'Digital Building'!B:B,"Yes")</f>
        <v>10</v>
      </c>
      <c r="I8" s="148">
        <f>E8+H8</f>
        <v>21</v>
      </c>
      <c r="J8" s="335">
        <f>(H8+E8)/D8</f>
        <v>0.4375</v>
      </c>
      <c r="L8" s="79"/>
    </row>
    <row r="9" spans="2:12">
      <c r="B9" s="139"/>
      <c r="C9" s="328" t="s">
        <v>38</v>
      </c>
      <c r="D9" s="329">
        <f>'Digital Power'!D1</f>
        <v>170</v>
      </c>
      <c r="E9" s="329">
        <f>'Digital Power'!B1</f>
        <v>27</v>
      </c>
      <c r="F9" s="329">
        <f>'Digital Power'!C1</f>
        <v>21</v>
      </c>
      <c r="G9" s="329">
        <f>COUNTIFS('Digital Power'!B:B,"Yes",'Digital Power'!C:C,"Yes")</f>
        <v>8</v>
      </c>
      <c r="H9" s="329">
        <f>COUNTIFS('Digital Power'!B:B,"No",'Digital Power'!C:C,"Yes")</f>
        <v>13</v>
      </c>
      <c r="I9" s="329">
        <f>E9+H9</f>
        <v>40</v>
      </c>
      <c r="J9" s="336">
        <f>(H9+E9)/D9</f>
        <v>0.23529411764705882</v>
      </c>
      <c r="L9" s="79" t="s">
        <v>1345</v>
      </c>
    </row>
    <row r="10" spans="2:12">
      <c r="B10" s="139"/>
      <c r="C10" s="328" t="s">
        <v>1325</v>
      </c>
      <c r="D10" s="329">
        <f>MicroGrid!D1</f>
        <v>15</v>
      </c>
      <c r="E10" s="329">
        <f>MicroGrid!B1</f>
        <v>0</v>
      </c>
      <c r="F10" s="329">
        <f>MicroGrid!C1</f>
        <v>0</v>
      </c>
      <c r="G10" s="329">
        <f>COUNTIFS(MicroGrid!B:B,"Yes",MicroGrid!C:C,"Yes")</f>
        <v>0</v>
      </c>
      <c r="H10" s="329">
        <f>COUNTIFS(MicroGrid!B:B,"No",MicroGrid!C:C,"Yes")</f>
        <v>0</v>
      </c>
      <c r="I10" s="329">
        <f t="shared" ref="I10:I15" si="0">E10+H10</f>
        <v>0</v>
      </c>
      <c r="J10" s="336">
        <f t="shared" ref="J10:J15" si="1">(H10+E10)/D10</f>
        <v>0</v>
      </c>
      <c r="L10" s="79" t="s">
        <v>1345</v>
      </c>
    </row>
    <row r="11" spans="2:12" ht="30">
      <c r="B11" s="139"/>
      <c r="C11" s="328" t="s">
        <v>1326</v>
      </c>
      <c r="D11" s="329">
        <f>'EcoStruxure Power'!D1</f>
        <v>32</v>
      </c>
      <c r="E11" s="329">
        <f>'EcoStruxure Power'!B1</f>
        <v>1</v>
      </c>
      <c r="F11" s="329">
        <f>'EcoStruxure Power'!C1</f>
        <v>1</v>
      </c>
      <c r="G11" s="329">
        <f>COUNTIFS('EcoStruxure Power'!B:B,"Yes",'EcoStruxure Power'!C:C,"Yes")</f>
        <v>0</v>
      </c>
      <c r="H11" s="329">
        <f>COUNTIFS('EcoStruxure Power'!B:B,"No",'EcoStruxure Power'!C:C,"Yes")</f>
        <v>1</v>
      </c>
      <c r="I11" s="329">
        <f t="shared" si="0"/>
        <v>2</v>
      </c>
      <c r="J11" s="336">
        <f t="shared" si="1"/>
        <v>6.25E-2</v>
      </c>
      <c r="L11" s="79" t="s">
        <v>1345</v>
      </c>
    </row>
    <row r="12" spans="2:12">
      <c r="B12" s="139"/>
      <c r="C12" s="328" t="s">
        <v>14</v>
      </c>
      <c r="D12" s="329">
        <f>'Secure Power'!E1</f>
        <v>24</v>
      </c>
      <c r="E12" s="329">
        <f>'Secure Power'!A1</f>
        <v>3</v>
      </c>
      <c r="F12" s="329">
        <f>'Secure Power'!B1</f>
        <v>7</v>
      </c>
      <c r="G12" s="329">
        <f>COUNTIFS('Secure Power'!A:A,"Yes",'Secure Power'!B:B,"Yes")</f>
        <v>0</v>
      </c>
      <c r="H12" s="329">
        <f>COUNTIFS('Secure Power'!A:A,"No",'Secure Power'!B:B,"Yes")</f>
        <v>7</v>
      </c>
      <c r="I12" s="329">
        <f t="shared" si="0"/>
        <v>10</v>
      </c>
      <c r="J12" s="336">
        <f t="shared" si="1"/>
        <v>0.41666666666666669</v>
      </c>
      <c r="L12" s="79" t="s">
        <v>1344</v>
      </c>
    </row>
    <row r="13" spans="2:12">
      <c r="B13" s="139"/>
      <c r="C13" s="328" t="s">
        <v>40</v>
      </c>
      <c r="D13" s="329">
        <f>'Power Products'!E1</f>
        <v>22</v>
      </c>
      <c r="E13" s="329">
        <f>'Power Products'!C1</f>
        <v>5</v>
      </c>
      <c r="F13" s="329">
        <f>'Power Products'!D1</f>
        <v>2</v>
      </c>
      <c r="G13" s="329">
        <f>COUNTIFS('Power Products'!C:C,"Yes",'Power Products'!D:D,"Yes")</f>
        <v>0</v>
      </c>
      <c r="H13" s="329">
        <f>COUNTIFS('Power Products'!C:C,"No",'Power Products'!D:D,"Yes")</f>
        <v>2</v>
      </c>
      <c r="I13" s="329">
        <f t="shared" si="0"/>
        <v>7</v>
      </c>
      <c r="J13" s="336">
        <f t="shared" si="1"/>
        <v>0.31818181818181818</v>
      </c>
      <c r="L13" s="79" t="s">
        <v>1344</v>
      </c>
    </row>
    <row r="14" spans="2:12">
      <c r="B14" s="139"/>
      <c r="C14" s="328" t="s">
        <v>1330</v>
      </c>
      <c r="D14" s="329">
        <f>'Home &amp; Distribution'!C1</f>
        <v>3</v>
      </c>
      <c r="E14" s="329">
        <f>'Home &amp; Distribution'!A1</f>
        <v>3</v>
      </c>
      <c r="F14" s="329">
        <f>'Home &amp; Distribution'!B1</f>
        <v>1</v>
      </c>
      <c r="G14" s="329">
        <f>COUNTIFS('Home &amp; Distribution'!A:A,"Yes",'Home &amp; Distribution'!B:B,"Yes")</f>
        <v>1</v>
      </c>
      <c r="H14" s="329">
        <f>COUNTIFS('Home &amp; Distribution'!A:A,"No",'Home &amp; Distribution'!B:B,"Yes")</f>
        <v>0</v>
      </c>
      <c r="I14" s="329">
        <f t="shared" si="0"/>
        <v>3</v>
      </c>
      <c r="J14" s="336">
        <f t="shared" si="1"/>
        <v>1</v>
      </c>
      <c r="L14" s="79" t="s">
        <v>1344</v>
      </c>
    </row>
    <row r="15" spans="2:12">
      <c r="B15" s="142"/>
      <c r="C15" s="143" t="s">
        <v>41</v>
      </c>
      <c r="D15" s="144">
        <f>'Power System'!C1</f>
        <v>22</v>
      </c>
      <c r="E15" s="144">
        <f>'Power System'!A1</f>
        <v>0</v>
      </c>
      <c r="F15" s="144">
        <f>'Power System'!B1</f>
        <v>1</v>
      </c>
      <c r="G15" s="144">
        <f>COUNTIFS('Power System'!A:A,"Yes",'Power System'!B:B,"Yes")</f>
        <v>0</v>
      </c>
      <c r="H15" s="144">
        <f>COUNTIFS('Power System'!A:A,"No",'Power System'!B:B,"Yes")</f>
        <v>1</v>
      </c>
      <c r="I15" s="144">
        <f t="shared" si="0"/>
        <v>1</v>
      </c>
      <c r="J15" s="337">
        <f t="shared" si="1"/>
        <v>4.5454545454545456E-2</v>
      </c>
    </row>
    <row r="16" spans="2:12">
      <c r="B16" s="331" t="s">
        <v>42</v>
      </c>
      <c r="C16" s="332" t="s">
        <v>19</v>
      </c>
      <c r="D16" s="333"/>
      <c r="E16" s="333"/>
      <c r="F16" s="333"/>
      <c r="G16" s="333"/>
      <c r="H16" s="333"/>
      <c r="I16" s="333"/>
      <c r="J16" s="334"/>
      <c r="L16" s="79" t="s">
        <v>1346</v>
      </c>
    </row>
    <row r="17" spans="2:12">
      <c r="B17" s="149"/>
      <c r="C17" s="150" t="s">
        <v>20</v>
      </c>
      <c r="D17" s="151"/>
      <c r="E17" s="151"/>
      <c r="F17" s="151"/>
      <c r="G17" s="151"/>
      <c r="H17" s="151"/>
      <c r="I17" s="151"/>
      <c r="J17" s="155"/>
      <c r="L17" s="79" t="s">
        <v>1346</v>
      </c>
    </row>
    <row r="18" spans="2:12" ht="15.75">
      <c r="B18" s="157"/>
      <c r="C18" s="157"/>
      <c r="D18" s="161"/>
      <c r="E18" s="161"/>
      <c r="F18" s="161"/>
      <c r="G18" s="161"/>
      <c r="H18" s="161"/>
      <c r="I18" s="161"/>
      <c r="J18" s="157"/>
    </row>
    <row r="19" spans="2:12" ht="15.6" customHeight="1">
      <c r="B19" s="157"/>
      <c r="C19" s="156" t="s">
        <v>43</v>
      </c>
      <c r="D19" s="156">
        <f t="shared" ref="D19:I19" si="2">SUM(D5:D15)</f>
        <v>487</v>
      </c>
      <c r="E19" s="156">
        <f t="shared" si="2"/>
        <v>93</v>
      </c>
      <c r="F19" s="156">
        <f t="shared" si="2"/>
        <v>78</v>
      </c>
      <c r="G19" s="156">
        <f t="shared" si="2"/>
        <v>25</v>
      </c>
      <c r="H19" s="156">
        <f t="shared" si="2"/>
        <v>53</v>
      </c>
      <c r="I19" s="156">
        <f t="shared" si="2"/>
        <v>146</v>
      </c>
      <c r="J19" s="399" t="s">
        <v>44</v>
      </c>
    </row>
    <row r="20" spans="2:12" ht="15.75">
      <c r="B20" s="157"/>
      <c r="C20" s="157"/>
      <c r="D20" s="158">
        <v>1</v>
      </c>
      <c r="E20" s="158">
        <f>E19/D19</f>
        <v>0.19096509240246407</v>
      </c>
      <c r="F20" s="158">
        <f>F19/D19</f>
        <v>0.16016427104722791</v>
      </c>
      <c r="G20" s="158">
        <f>G19/D19</f>
        <v>5.1334702258726897E-2</v>
      </c>
      <c r="H20" s="158">
        <f>H19/D19</f>
        <v>0.10882956878850103</v>
      </c>
      <c r="I20" s="158">
        <f>I19/D19</f>
        <v>0.29979466119096509</v>
      </c>
      <c r="J20" s="399"/>
    </row>
    <row r="21" spans="2:12" ht="15.75">
      <c r="B21" s="157"/>
      <c r="C21" s="157"/>
      <c r="D21" s="157"/>
      <c r="E21" s="157"/>
      <c r="F21" s="157"/>
      <c r="G21" s="157"/>
      <c r="H21" s="162"/>
      <c r="I21" s="162"/>
      <c r="J21" s="399"/>
    </row>
    <row r="24" spans="2:12" s="79" customFormat="1">
      <c r="B24" s="145" t="s">
        <v>45</v>
      </c>
      <c r="E24" s="145" t="s">
        <v>46</v>
      </c>
      <c r="H24" s="78"/>
      <c r="I24" s="78"/>
    </row>
    <row r="25" spans="2:12" s="79" customFormat="1">
      <c r="B25" s="79" t="s">
        <v>47</v>
      </c>
      <c r="E25" s="79" t="s">
        <v>48</v>
      </c>
      <c r="H25" s="78"/>
      <c r="I25" s="78"/>
    </row>
    <row r="26" spans="2:12" s="79" customFormat="1">
      <c r="B26" s="79" t="s">
        <v>49</v>
      </c>
      <c r="E26" s="79" t="s">
        <v>50</v>
      </c>
      <c r="H26" s="78"/>
      <c r="I26" s="78"/>
    </row>
    <row r="27" spans="2:12" s="79" customFormat="1">
      <c r="H27" s="78"/>
      <c r="I27" s="78"/>
    </row>
    <row r="28" spans="2:12" s="79" customFormat="1">
      <c r="H28" s="78"/>
      <c r="I28" s="78"/>
    </row>
    <row r="29" spans="2:12" s="79" customFormat="1">
      <c r="B29" s="145" t="s">
        <v>51</v>
      </c>
      <c r="H29" s="78"/>
      <c r="I29" s="78"/>
    </row>
    <row r="30" spans="2:12" s="79" customFormat="1">
      <c r="B30" s="79" t="s">
        <v>52</v>
      </c>
      <c r="H30" s="78"/>
      <c r="I30" s="78"/>
    </row>
    <row r="31" spans="2:12" s="79" customFormat="1">
      <c r="B31" s="79" t="s">
        <v>53</v>
      </c>
      <c r="H31" s="78"/>
      <c r="I31" s="78"/>
    </row>
    <row r="32" spans="2:12" s="79" customFormat="1">
      <c r="H32" s="78"/>
      <c r="I32" s="78"/>
    </row>
    <row r="33" spans="8:9" s="79" customFormat="1">
      <c r="H33" s="78"/>
      <c r="I33" s="78"/>
    </row>
    <row r="34" spans="8:9" s="79" customFormat="1">
      <c r="H34" s="78"/>
      <c r="I34" s="78"/>
    </row>
    <row r="35" spans="8:9" s="79" customFormat="1">
      <c r="H35" s="78"/>
      <c r="I35" s="78"/>
    </row>
    <row r="36" spans="8:9" s="79" customFormat="1">
      <c r="H36" s="78"/>
      <c r="I36" s="78"/>
    </row>
    <row r="37" spans="8:9" s="79" customFormat="1">
      <c r="H37" s="78"/>
      <c r="I37" s="78"/>
    </row>
  </sheetData>
  <mergeCells count="15">
    <mergeCell ref="B3:B4"/>
    <mergeCell ref="C3:C4"/>
    <mergeCell ref="D3:D4"/>
    <mergeCell ref="D5:D7"/>
    <mergeCell ref="E5:E7"/>
    <mergeCell ref="L5:L7"/>
    <mergeCell ref="L3:L4"/>
    <mergeCell ref="J19:J21"/>
    <mergeCell ref="J5:J7"/>
    <mergeCell ref="E3:H3"/>
    <mergeCell ref="F5:F7"/>
    <mergeCell ref="H5:H7"/>
    <mergeCell ref="G5:G7"/>
    <mergeCell ref="I5:I7"/>
    <mergeCell ref="I3:J4"/>
  </mergeCells>
  <phoneticPr fontId="2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8E875-9EBC-4AFA-8CCE-41B663EEC961}">
  <dimension ref="B2:C62"/>
  <sheetViews>
    <sheetView topLeftCell="A50" workbookViewId="0">
      <selection activeCell="S64" sqref="S64"/>
    </sheetView>
  </sheetViews>
  <sheetFormatPr baseColWidth="10" defaultColWidth="8.85546875" defaultRowHeight="15"/>
  <sheetData>
    <row r="2" spans="2:2" ht="18.75">
      <c r="B2" s="285">
        <v>45689</v>
      </c>
    </row>
    <row r="19" spans="2:2" ht="18.75">
      <c r="B19" s="285">
        <v>45809</v>
      </c>
    </row>
    <row r="41" spans="2:2" ht="18.75">
      <c r="B41" s="285">
        <v>45870</v>
      </c>
    </row>
    <row r="62" spans="2:3" ht="18.75">
      <c r="B62" s="409">
        <v>45919</v>
      </c>
      <c r="C62" s="409"/>
    </row>
  </sheetData>
  <mergeCells count="1">
    <mergeCell ref="B62:C62"/>
  </mergeCells>
  <phoneticPr fontId="29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E27F-8E78-4E81-8B61-6614C2A0D4EE}">
  <dimension ref="B1:R38"/>
  <sheetViews>
    <sheetView topLeftCell="A29" zoomScaleNormal="100" workbookViewId="0">
      <selection activeCell="D8" sqref="D8"/>
    </sheetView>
  </sheetViews>
  <sheetFormatPr baseColWidth="10" defaultColWidth="8.85546875" defaultRowHeight="15"/>
  <cols>
    <col min="1" max="1" width="8.85546875" style="89"/>
    <col min="2" max="2" width="22" style="89" bestFit="1" customWidth="1"/>
    <col min="3" max="3" width="25.42578125" style="89" bestFit="1" customWidth="1"/>
    <col min="4" max="4" width="17.42578125" style="89" customWidth="1"/>
    <col min="5" max="5" width="10.140625" style="88" customWidth="1"/>
    <col min="6" max="6" width="15.140625" style="89" customWidth="1"/>
    <col min="7" max="13" width="8.85546875" style="89"/>
    <col min="14" max="14" width="15" style="89" customWidth="1"/>
    <col min="15" max="16384" width="8.85546875" style="89"/>
  </cols>
  <sheetData>
    <row r="1" spans="2:18" s="88" customFormat="1"/>
    <row r="2" spans="2:18" s="88" customFormat="1" ht="15.75">
      <c r="M2" s="182">
        <v>45689</v>
      </c>
    </row>
    <row r="3" spans="2:18" s="88" customFormat="1" ht="15.6" customHeight="1">
      <c r="B3" s="402" t="s">
        <v>28</v>
      </c>
      <c r="C3" s="402" t="s">
        <v>29</v>
      </c>
      <c r="D3" s="402" t="s">
        <v>30</v>
      </c>
      <c r="E3" s="406" t="s">
        <v>32</v>
      </c>
      <c r="F3" s="407"/>
    </row>
    <row r="4" spans="2:18" s="88" customFormat="1">
      <c r="B4" s="408"/>
      <c r="C4" s="408"/>
      <c r="D4" s="408"/>
      <c r="E4" s="406"/>
      <c r="F4" s="407"/>
    </row>
    <row r="5" spans="2:18">
      <c r="B5" s="133" t="s">
        <v>6</v>
      </c>
      <c r="C5" s="134" t="s">
        <v>8</v>
      </c>
      <c r="D5" s="403">
        <f>'Summary Sheet'!D5</f>
        <v>151</v>
      </c>
      <c r="E5" s="403">
        <f>'Summary Sheet'!I5</f>
        <v>62</v>
      </c>
      <c r="F5" s="411">
        <f>E5/D5</f>
        <v>0.41059602649006621</v>
      </c>
    </row>
    <row r="6" spans="2:18">
      <c r="B6" s="135"/>
      <c r="C6" s="136" t="s">
        <v>37</v>
      </c>
      <c r="D6" s="404"/>
      <c r="E6" s="404"/>
      <c r="F6" s="412"/>
    </row>
    <row r="7" spans="2:18">
      <c r="B7" s="137"/>
      <c r="C7" s="138" t="s">
        <v>7</v>
      </c>
      <c r="D7" s="410"/>
      <c r="E7" s="410"/>
      <c r="F7" s="413"/>
    </row>
    <row r="8" spans="2:18">
      <c r="B8" s="146" t="s">
        <v>11</v>
      </c>
      <c r="C8" s="147" t="s">
        <v>38</v>
      </c>
      <c r="D8" s="148">
        <f>'Summary Sheet'!D9</f>
        <v>170</v>
      </c>
      <c r="E8" s="148">
        <f>'Summary Sheet'!I9</f>
        <v>40</v>
      </c>
      <c r="F8" s="152">
        <f>E8/D8</f>
        <v>0.23529411764705882</v>
      </c>
    </row>
    <row r="9" spans="2:18" ht="30">
      <c r="B9" s="139"/>
      <c r="C9" s="140" t="s">
        <v>39</v>
      </c>
      <c r="D9" s="141">
        <f>'Summary Sheet'!D8</f>
        <v>48</v>
      </c>
      <c r="E9" s="141">
        <f>'Summary Sheet'!I8</f>
        <v>21</v>
      </c>
      <c r="F9" s="153">
        <f t="shared" ref="F9:F13" si="0">E9/D9</f>
        <v>0.4375</v>
      </c>
    </row>
    <row r="10" spans="2:18">
      <c r="B10" s="139"/>
      <c r="C10" s="140" t="s">
        <v>14</v>
      </c>
      <c r="D10" s="141">
        <f>'Summary Sheet'!D12</f>
        <v>24</v>
      </c>
      <c r="E10" s="141">
        <f>'Summary Sheet'!I12</f>
        <v>10</v>
      </c>
      <c r="F10" s="153">
        <f t="shared" si="0"/>
        <v>0.41666666666666669</v>
      </c>
    </row>
    <row r="11" spans="2:18">
      <c r="B11" s="139"/>
      <c r="C11" s="140" t="s">
        <v>40</v>
      </c>
      <c r="D11" s="141">
        <f>'Summary Sheet'!D13</f>
        <v>22</v>
      </c>
      <c r="E11" s="141">
        <f>'Summary Sheet'!I13</f>
        <v>7</v>
      </c>
      <c r="F11" s="153">
        <f t="shared" si="0"/>
        <v>0.31818181818181818</v>
      </c>
    </row>
    <row r="12" spans="2:18">
      <c r="B12" s="139"/>
      <c r="C12" s="140" t="s">
        <v>17</v>
      </c>
      <c r="D12" s="141">
        <f>'Summary Sheet'!D14</f>
        <v>3</v>
      </c>
      <c r="E12" s="141">
        <f>'Summary Sheet'!I14</f>
        <v>3</v>
      </c>
      <c r="F12" s="153">
        <f t="shared" si="0"/>
        <v>1</v>
      </c>
    </row>
    <row r="13" spans="2:18">
      <c r="B13" s="142"/>
      <c r="C13" s="143" t="s">
        <v>41</v>
      </c>
      <c r="D13" s="144">
        <f>'Summary Sheet'!D15</f>
        <v>22</v>
      </c>
      <c r="E13" s="144">
        <f>'Summary Sheet'!I15</f>
        <v>1</v>
      </c>
      <c r="F13" s="154">
        <f t="shared" si="0"/>
        <v>4.5454545454545456E-2</v>
      </c>
    </row>
    <row r="14" spans="2:18" ht="15.6" customHeight="1">
      <c r="B14" s="160"/>
      <c r="C14" s="164" t="s">
        <v>43</v>
      </c>
      <c r="D14" s="164">
        <f>SUM(D5:D13)</f>
        <v>440</v>
      </c>
      <c r="E14" s="164">
        <f>SUM(E5:E13)</f>
        <v>144</v>
      </c>
      <c r="F14" s="414" t="s">
        <v>44</v>
      </c>
    </row>
    <row r="15" spans="2:18" ht="15.75">
      <c r="B15" s="160"/>
      <c r="C15" s="159"/>
      <c r="D15" s="165">
        <v>1</v>
      </c>
      <c r="E15" s="165">
        <f>E14/D14</f>
        <v>0.32727272727272727</v>
      </c>
      <c r="F15" s="415"/>
    </row>
    <row r="16" spans="2:18" ht="15.75">
      <c r="B16" s="157"/>
      <c r="C16" s="157"/>
      <c r="E16" s="89"/>
      <c r="F16" s="163"/>
      <c r="R16" s="89">
        <f>153+119+44+93+28+14+22</f>
        <v>473</v>
      </c>
    </row>
    <row r="19" spans="2:15" s="79" customFormat="1">
      <c r="B19" s="145" t="s">
        <v>45</v>
      </c>
      <c r="E19" s="78"/>
    </row>
    <row r="20" spans="2:15" s="79" customFormat="1">
      <c r="B20" s="79" t="s">
        <v>47</v>
      </c>
      <c r="E20" s="78"/>
    </row>
    <row r="21" spans="2:15" s="79" customFormat="1">
      <c r="B21" s="79" t="s">
        <v>49</v>
      </c>
      <c r="E21" s="78"/>
    </row>
    <row r="22" spans="2:15" s="79" customFormat="1">
      <c r="E22" s="78"/>
    </row>
    <row r="23" spans="2:15" s="79" customFormat="1" ht="28.9" customHeight="1">
      <c r="E23" s="78"/>
      <c r="N23" s="416" t="s">
        <v>54</v>
      </c>
      <c r="O23" s="416"/>
    </row>
    <row r="24" spans="2:15" s="79" customFormat="1">
      <c r="B24" s="145" t="s">
        <v>51</v>
      </c>
      <c r="E24" s="78"/>
      <c r="N24" s="79" t="s">
        <v>55</v>
      </c>
      <c r="O24" s="79">
        <v>10</v>
      </c>
    </row>
    <row r="25" spans="2:15" s="79" customFormat="1">
      <c r="B25" s="79" t="s">
        <v>52</v>
      </c>
      <c r="E25" s="78"/>
      <c r="N25" s="79" t="s">
        <v>56</v>
      </c>
      <c r="O25" s="79">
        <v>8</v>
      </c>
    </row>
    <row r="26" spans="2:15" s="79" customFormat="1">
      <c r="B26" s="79" t="s">
        <v>53</v>
      </c>
      <c r="E26" s="78"/>
      <c r="N26" s="79" t="s">
        <v>27</v>
      </c>
      <c r="O26" s="166">
        <f>O25/O24</f>
        <v>0.8</v>
      </c>
    </row>
    <row r="27" spans="2:15" s="79" customFormat="1">
      <c r="E27" s="78"/>
    </row>
    <row r="28" spans="2:15" s="79" customFormat="1">
      <c r="E28" s="78"/>
    </row>
    <row r="29" spans="2:15" s="79" customFormat="1">
      <c r="E29" s="78"/>
    </row>
    <row r="30" spans="2:15" s="79" customFormat="1">
      <c r="E30" s="78"/>
    </row>
    <row r="31" spans="2:15" s="79" customFormat="1">
      <c r="C31" s="79" t="s">
        <v>57</v>
      </c>
      <c r="D31" s="79">
        <v>155</v>
      </c>
      <c r="E31" s="78">
        <v>64</v>
      </c>
    </row>
    <row r="32" spans="2:15">
      <c r="C32" s="89" t="s">
        <v>58</v>
      </c>
      <c r="D32" s="89">
        <v>120</v>
      </c>
      <c r="E32" s="88">
        <v>45</v>
      </c>
    </row>
    <row r="33" spans="3:5">
      <c r="C33" s="89" t="s">
        <v>59</v>
      </c>
      <c r="D33" s="89">
        <v>44</v>
      </c>
      <c r="E33" s="88">
        <v>21</v>
      </c>
    </row>
    <row r="34" spans="3:5">
      <c r="C34" s="89" t="s">
        <v>60</v>
      </c>
      <c r="D34" s="89">
        <v>93</v>
      </c>
      <c r="E34" s="88">
        <v>18</v>
      </c>
    </row>
    <row r="35" spans="3:5">
      <c r="C35" s="89" t="s">
        <v>61</v>
      </c>
      <c r="D35" s="89">
        <v>21</v>
      </c>
      <c r="E35" s="88">
        <v>7</v>
      </c>
    </row>
    <row r="36" spans="3:5">
      <c r="C36" s="89" t="s">
        <v>62</v>
      </c>
      <c r="D36" s="89">
        <v>9</v>
      </c>
      <c r="E36" s="88">
        <v>7</v>
      </c>
    </row>
    <row r="37" spans="3:5">
      <c r="C37" s="89" t="s">
        <v>43</v>
      </c>
      <c r="D37" s="89">
        <f>SUM(D31:D36)</f>
        <v>442</v>
      </c>
      <c r="E37" s="89">
        <f>SUM(E31:E36)</f>
        <v>162</v>
      </c>
    </row>
    <row r="38" spans="3:5">
      <c r="E38" s="220">
        <f>E37/D37</f>
        <v>0.36651583710407237</v>
      </c>
    </row>
  </sheetData>
  <mergeCells count="9">
    <mergeCell ref="E5:E7"/>
    <mergeCell ref="F5:F7"/>
    <mergeCell ref="F14:F15"/>
    <mergeCell ref="N23:O23"/>
    <mergeCell ref="B3:B4"/>
    <mergeCell ref="C3:C4"/>
    <mergeCell ref="D3:D4"/>
    <mergeCell ref="E3:F4"/>
    <mergeCell ref="D5:D7"/>
  </mergeCells>
  <phoneticPr fontId="29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8667-5710-4CA7-9DA8-A4EB40AE5E6A}">
  <dimension ref="A1:DF159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150" sqref="A150:XFD150"/>
    </sheetView>
  </sheetViews>
  <sheetFormatPr baseColWidth="10" defaultColWidth="29.42578125" defaultRowHeight="15"/>
  <cols>
    <col min="1" max="1" width="11.5703125" style="88" bestFit="1" customWidth="1"/>
    <col min="2" max="2" width="9.42578125" style="88" customWidth="1"/>
    <col min="3" max="3" width="14.42578125" style="89" customWidth="1"/>
    <col min="4" max="4" width="42.5703125" style="89" bestFit="1" customWidth="1"/>
    <col min="5" max="5" width="32.140625" style="89" bestFit="1" customWidth="1"/>
    <col min="6" max="6" width="25.42578125" style="89" bestFit="1" customWidth="1"/>
    <col min="7" max="7" width="20.140625" style="89" bestFit="1" customWidth="1"/>
    <col min="8" max="8" width="11.5703125" style="89" bestFit="1" customWidth="1"/>
    <col min="9" max="9" width="20.5703125" style="89" bestFit="1" customWidth="1"/>
    <col min="10" max="10" width="23" style="89" bestFit="1" customWidth="1"/>
    <col min="11" max="11" width="28.85546875" style="89" bestFit="1" customWidth="1"/>
    <col min="12" max="12" width="29.140625" style="89" bestFit="1" customWidth="1"/>
    <col min="13" max="13" width="11.42578125" style="89" bestFit="1" customWidth="1"/>
    <col min="14" max="14" width="8.140625" style="89" bestFit="1" customWidth="1"/>
    <col min="15" max="15" width="8.42578125" style="89" bestFit="1" customWidth="1"/>
    <col min="16" max="16" width="16" style="89" bestFit="1" customWidth="1"/>
    <col min="17" max="17" width="9" style="89" bestFit="1" customWidth="1"/>
    <col min="18" max="18" width="10.5703125" style="89" bestFit="1" customWidth="1"/>
    <col min="19" max="19" width="18.42578125" style="89" bestFit="1" customWidth="1"/>
    <col min="20" max="20" width="15.5703125" style="89" bestFit="1" customWidth="1"/>
    <col min="21" max="21" width="9.85546875" style="89" bestFit="1" customWidth="1"/>
    <col min="22" max="22" width="10.5703125" style="89" bestFit="1" customWidth="1"/>
    <col min="23" max="23" width="14.42578125" style="89" bestFit="1" customWidth="1"/>
    <col min="24" max="24" width="11" style="89" bestFit="1" customWidth="1"/>
    <col min="25" max="25" width="10.140625" style="89" bestFit="1" customWidth="1"/>
    <col min="26" max="26" width="9.42578125" style="89" bestFit="1" customWidth="1"/>
    <col min="27" max="27" width="10.42578125" style="89" bestFit="1" customWidth="1"/>
    <col min="28" max="29" width="9.42578125" style="89" bestFit="1" customWidth="1"/>
    <col min="30" max="30" width="16" style="89" bestFit="1" customWidth="1"/>
    <col min="31" max="31" width="27" style="89" bestFit="1" customWidth="1"/>
    <col min="32" max="32" width="13.42578125" style="89" bestFit="1" customWidth="1"/>
    <col min="33" max="33" width="11.42578125" style="90" bestFit="1" customWidth="1"/>
    <col min="34" max="34" width="10.42578125" style="79" bestFit="1" customWidth="1"/>
    <col min="35" max="35" width="25" style="79" bestFit="1" customWidth="1"/>
    <col min="36" max="16384" width="29.42578125" style="79"/>
  </cols>
  <sheetData>
    <row r="1" spans="1:110" s="78" customFormat="1">
      <c r="B1" s="88">
        <f>COUNTIF(Table54[Seen on BS],"Yes")</f>
        <v>43</v>
      </c>
      <c r="C1" s="88">
        <f>COUNTIF(Table54[Fingerprints available], "Yes")</f>
        <v>30</v>
      </c>
      <c r="D1" s="88">
        <f>COUNTA(Table54[[Product range ]])</f>
        <v>151</v>
      </c>
      <c r="E1" s="88">
        <f>SUBTOTAL(3,Table54[[Product range ]])</f>
        <v>151</v>
      </c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93"/>
    </row>
    <row r="2" spans="1:110" s="88" customFormat="1" ht="30">
      <c r="A2" s="88" t="s">
        <v>63</v>
      </c>
      <c r="B2" s="102" t="s">
        <v>33</v>
      </c>
      <c r="C2" s="77" t="s">
        <v>64</v>
      </c>
      <c r="D2" s="94" t="s">
        <v>65</v>
      </c>
      <c r="E2" s="94" t="s">
        <v>66</v>
      </c>
      <c r="F2" s="94" t="s">
        <v>29</v>
      </c>
      <c r="G2" s="94" t="s">
        <v>28</v>
      </c>
      <c r="H2" s="94" t="s">
        <v>67</v>
      </c>
      <c r="I2" s="17" t="s">
        <v>68</v>
      </c>
      <c r="J2" s="94" t="s">
        <v>69</v>
      </c>
      <c r="K2" s="94" t="s">
        <v>70</v>
      </c>
      <c r="L2" s="94" t="s">
        <v>71</v>
      </c>
      <c r="M2" s="94" t="s">
        <v>72</v>
      </c>
      <c r="N2" s="94" t="s">
        <v>73</v>
      </c>
      <c r="O2" s="94" t="s">
        <v>74</v>
      </c>
      <c r="P2" s="94" t="s">
        <v>75</v>
      </c>
      <c r="Q2" s="94" t="s">
        <v>76</v>
      </c>
      <c r="R2" s="94" t="s">
        <v>77</v>
      </c>
      <c r="S2" s="94" t="s">
        <v>78</v>
      </c>
      <c r="T2" s="94" t="s">
        <v>79</v>
      </c>
      <c r="U2" s="94" t="s">
        <v>80</v>
      </c>
      <c r="V2" s="94" t="s">
        <v>81</v>
      </c>
      <c r="W2" s="94" t="s">
        <v>82</v>
      </c>
      <c r="X2" s="94" t="s">
        <v>83</v>
      </c>
      <c r="Y2" s="94" t="s">
        <v>84</v>
      </c>
      <c r="Z2" s="94" t="s">
        <v>85</v>
      </c>
      <c r="AA2" s="94" t="s">
        <v>86</v>
      </c>
      <c r="AB2" s="94" t="s">
        <v>87</v>
      </c>
      <c r="AC2" s="94" t="s">
        <v>88</v>
      </c>
      <c r="AD2" s="94" t="s">
        <v>89</v>
      </c>
      <c r="AE2" s="94" t="s">
        <v>90</v>
      </c>
      <c r="AF2" s="94" t="s">
        <v>91</v>
      </c>
      <c r="AG2" s="94" t="s">
        <v>92</v>
      </c>
      <c r="AH2" s="94" t="s">
        <v>93</v>
      </c>
      <c r="AI2" s="95" t="s">
        <v>94</v>
      </c>
    </row>
    <row r="3" spans="1:110" s="80" customFormat="1" ht="30">
      <c r="A3" s="241" t="s">
        <v>95</v>
      </c>
      <c r="B3" s="31" t="s">
        <v>96</v>
      </c>
      <c r="C3" s="96" t="s">
        <v>97</v>
      </c>
      <c r="D3" s="12" t="s">
        <v>98</v>
      </c>
      <c r="E3" s="12" t="s">
        <v>99</v>
      </c>
      <c r="F3" s="12" t="s">
        <v>100</v>
      </c>
      <c r="G3" s="97" t="s">
        <v>6</v>
      </c>
      <c r="H3" s="65" t="s">
        <v>101</v>
      </c>
      <c r="I3" s="12" t="s">
        <v>102</v>
      </c>
      <c r="J3" s="12" t="s">
        <v>103</v>
      </c>
      <c r="K3" s="12"/>
      <c r="L3" s="65" t="s">
        <v>104</v>
      </c>
      <c r="M3" s="12"/>
      <c r="N3" s="65"/>
      <c r="O3" s="65"/>
      <c r="P3" s="65"/>
      <c r="Q3" s="65"/>
      <c r="R3" s="65"/>
      <c r="S3" s="65" t="s">
        <v>105</v>
      </c>
      <c r="T3" s="65" t="s">
        <v>105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98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  <c r="BT3" s="79"/>
      <c r="BU3" s="79"/>
      <c r="BV3" s="79"/>
      <c r="BW3" s="79"/>
      <c r="BX3" s="79"/>
      <c r="BY3" s="79"/>
      <c r="BZ3" s="79"/>
      <c r="CA3" s="79"/>
      <c r="CB3" s="79"/>
      <c r="CC3" s="79"/>
      <c r="CD3" s="79"/>
      <c r="CE3" s="79"/>
      <c r="CF3" s="79"/>
      <c r="CG3" s="79"/>
      <c r="CH3" s="79"/>
      <c r="CI3" s="79"/>
      <c r="CJ3" s="79"/>
      <c r="CK3" s="79"/>
      <c r="CL3" s="79"/>
      <c r="CM3" s="79"/>
      <c r="CN3" s="79"/>
      <c r="CO3" s="79"/>
      <c r="CP3" s="79"/>
      <c r="CQ3" s="79"/>
      <c r="CR3" s="79"/>
      <c r="CS3" s="79"/>
      <c r="CT3" s="79"/>
      <c r="CU3" s="79"/>
      <c r="CV3" s="79"/>
      <c r="CW3" s="79"/>
      <c r="CX3" s="79"/>
      <c r="CY3" s="79"/>
      <c r="CZ3" s="79"/>
      <c r="DA3" s="79"/>
      <c r="DB3" s="79"/>
      <c r="DC3" s="79"/>
      <c r="DD3" s="79"/>
      <c r="DE3" s="79"/>
      <c r="DF3" s="79"/>
    </row>
    <row r="4" spans="1:110" ht="30">
      <c r="A4" s="241" t="s">
        <v>95</v>
      </c>
      <c r="B4" s="31" t="s">
        <v>97</v>
      </c>
      <c r="C4" s="96" t="s">
        <v>97</v>
      </c>
      <c r="D4" s="12" t="s">
        <v>106</v>
      </c>
      <c r="E4" s="12" t="s">
        <v>99</v>
      </c>
      <c r="F4" s="12" t="s">
        <v>100</v>
      </c>
      <c r="G4" s="97" t="s">
        <v>6</v>
      </c>
      <c r="H4" s="65" t="s">
        <v>101</v>
      </c>
      <c r="I4" s="12" t="s">
        <v>102</v>
      </c>
      <c r="J4" s="12" t="s">
        <v>107</v>
      </c>
      <c r="K4" s="12"/>
      <c r="L4" s="65" t="s">
        <v>104</v>
      </c>
      <c r="M4" s="12"/>
      <c r="N4" s="65"/>
      <c r="O4" s="65"/>
      <c r="P4" s="65"/>
      <c r="Q4" s="65"/>
      <c r="R4" s="65"/>
      <c r="S4" s="65" t="s">
        <v>105</v>
      </c>
      <c r="T4" s="65" t="s">
        <v>105</v>
      </c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98"/>
    </row>
    <row r="5" spans="1:110" ht="30">
      <c r="A5" s="12" t="s">
        <v>108</v>
      </c>
      <c r="B5" s="31" t="s">
        <v>97</v>
      </c>
      <c r="C5" s="96" t="s">
        <v>97</v>
      </c>
      <c r="D5" s="12" t="s">
        <v>109</v>
      </c>
      <c r="E5" s="12" t="s">
        <v>110</v>
      </c>
      <c r="F5" s="12" t="s">
        <v>111</v>
      </c>
      <c r="G5" s="97" t="s">
        <v>6</v>
      </c>
      <c r="H5" s="65" t="s">
        <v>101</v>
      </c>
      <c r="I5" s="12" t="s">
        <v>112</v>
      </c>
      <c r="J5" s="12" t="s">
        <v>103</v>
      </c>
      <c r="K5" s="12"/>
      <c r="L5" s="65" t="s">
        <v>104</v>
      </c>
      <c r="M5" s="12"/>
      <c r="N5" s="65"/>
      <c r="O5" s="65"/>
      <c r="P5" s="65"/>
      <c r="Q5" s="65"/>
      <c r="R5" s="65"/>
      <c r="S5" s="65" t="s">
        <v>105</v>
      </c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98"/>
    </row>
    <row r="6" spans="1:110" s="81" customFormat="1" ht="30">
      <c r="A6" s="12" t="s">
        <v>108</v>
      </c>
      <c r="B6" s="31" t="s">
        <v>97</v>
      </c>
      <c r="C6" s="96" t="s">
        <v>97</v>
      </c>
      <c r="D6" s="12" t="s">
        <v>113</v>
      </c>
      <c r="E6" s="12" t="s">
        <v>110</v>
      </c>
      <c r="F6" s="12" t="s">
        <v>111</v>
      </c>
      <c r="G6" s="97" t="s">
        <v>6</v>
      </c>
      <c r="H6" s="65" t="s">
        <v>101</v>
      </c>
      <c r="I6" s="12" t="s">
        <v>112</v>
      </c>
      <c r="J6" s="12" t="s">
        <v>114</v>
      </c>
      <c r="K6" s="12"/>
      <c r="L6" s="65" t="s">
        <v>104</v>
      </c>
      <c r="M6" s="12"/>
      <c r="N6" s="65"/>
      <c r="O6" s="65"/>
      <c r="P6" s="65"/>
      <c r="Q6" s="65"/>
      <c r="R6" s="65"/>
      <c r="S6" s="65" t="s">
        <v>105</v>
      </c>
      <c r="T6" s="65" t="s">
        <v>105</v>
      </c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98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9"/>
      <c r="BP6" s="79"/>
      <c r="BQ6" s="79"/>
      <c r="BR6" s="79"/>
      <c r="BS6" s="79"/>
      <c r="BT6" s="79"/>
      <c r="BU6" s="79"/>
      <c r="BV6" s="79"/>
      <c r="BW6" s="79"/>
      <c r="BX6" s="79"/>
      <c r="BY6" s="79"/>
      <c r="BZ6" s="79"/>
      <c r="CA6" s="79"/>
      <c r="CB6" s="79"/>
      <c r="CC6" s="79"/>
      <c r="CD6" s="79"/>
      <c r="CE6" s="79"/>
      <c r="CF6" s="79"/>
      <c r="CG6" s="79"/>
      <c r="CH6" s="79"/>
      <c r="CI6" s="79"/>
      <c r="CJ6" s="79"/>
      <c r="CK6" s="79"/>
      <c r="CL6" s="79"/>
      <c r="CM6" s="79"/>
      <c r="CN6" s="79"/>
      <c r="CO6" s="79"/>
      <c r="CP6" s="79"/>
      <c r="CQ6" s="79"/>
      <c r="CR6" s="79"/>
      <c r="CS6" s="79"/>
      <c r="CT6" s="79"/>
      <c r="CU6" s="79"/>
      <c r="CV6" s="79"/>
      <c r="CW6" s="79"/>
      <c r="CX6" s="79"/>
      <c r="CY6" s="79"/>
      <c r="CZ6" s="79"/>
      <c r="DA6" s="79"/>
      <c r="DB6" s="79"/>
      <c r="DC6" s="79"/>
      <c r="DD6" s="79"/>
      <c r="DE6" s="79"/>
      <c r="DF6" s="79"/>
    </row>
    <row r="7" spans="1:110" s="81" customFormat="1" ht="30">
      <c r="A7" s="12" t="s">
        <v>108</v>
      </c>
      <c r="B7" s="31" t="s">
        <v>96</v>
      </c>
      <c r="C7" s="96" t="s">
        <v>97</v>
      </c>
      <c r="D7" s="12" t="s">
        <v>115</v>
      </c>
      <c r="E7" s="12" t="s">
        <v>110</v>
      </c>
      <c r="F7" s="12" t="s">
        <v>111</v>
      </c>
      <c r="G7" s="97" t="s">
        <v>6</v>
      </c>
      <c r="H7" s="65" t="s">
        <v>101</v>
      </c>
      <c r="I7" s="12" t="s">
        <v>112</v>
      </c>
      <c r="J7" s="12" t="s">
        <v>107</v>
      </c>
      <c r="K7" s="12"/>
      <c r="L7" s="65" t="s">
        <v>104</v>
      </c>
      <c r="M7" s="12"/>
      <c r="N7" s="65"/>
      <c r="O7" s="65"/>
      <c r="P7" s="65"/>
      <c r="Q7" s="65"/>
      <c r="R7" s="65"/>
      <c r="S7" s="65" t="s">
        <v>105</v>
      </c>
      <c r="T7" s="65" t="s">
        <v>105</v>
      </c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98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79"/>
      <c r="BW7" s="79"/>
      <c r="BX7" s="79"/>
      <c r="BY7" s="79"/>
      <c r="BZ7" s="79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79"/>
      <c r="CL7" s="79"/>
      <c r="CM7" s="79"/>
      <c r="CN7" s="79"/>
      <c r="CO7" s="79"/>
      <c r="CP7" s="79"/>
      <c r="CQ7" s="79"/>
      <c r="CR7" s="79"/>
      <c r="CS7" s="79"/>
      <c r="CT7" s="79"/>
      <c r="CU7" s="79"/>
      <c r="CV7" s="79"/>
      <c r="CW7" s="79"/>
      <c r="CX7" s="79"/>
      <c r="CY7" s="79"/>
      <c r="CZ7" s="79"/>
      <c r="DA7" s="79"/>
      <c r="DB7" s="79"/>
      <c r="DC7" s="79"/>
      <c r="DD7" s="79"/>
      <c r="DE7" s="79"/>
      <c r="DF7" s="79"/>
    </row>
    <row r="8" spans="1:110" s="81" customFormat="1" ht="30">
      <c r="A8" s="12" t="s">
        <v>108</v>
      </c>
      <c r="B8" s="31" t="s">
        <v>97</v>
      </c>
      <c r="C8" s="96" t="s">
        <v>97</v>
      </c>
      <c r="D8" s="12" t="s">
        <v>116</v>
      </c>
      <c r="E8" s="12" t="s">
        <v>110</v>
      </c>
      <c r="F8" s="12" t="s">
        <v>111</v>
      </c>
      <c r="G8" s="97" t="s">
        <v>6</v>
      </c>
      <c r="H8" s="65" t="s">
        <v>101</v>
      </c>
      <c r="I8" s="12" t="s">
        <v>112</v>
      </c>
      <c r="J8" s="12" t="s">
        <v>107</v>
      </c>
      <c r="K8" s="12"/>
      <c r="L8" s="12" t="s">
        <v>117</v>
      </c>
      <c r="M8" s="12" t="s">
        <v>105</v>
      </c>
      <c r="N8" s="12"/>
      <c r="O8" s="12"/>
      <c r="P8" s="12"/>
      <c r="Q8" s="12"/>
      <c r="R8" s="12"/>
      <c r="S8" s="12" t="s">
        <v>105</v>
      </c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65"/>
      <c r="AI8" s="98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79"/>
      <c r="CB8" s="79"/>
      <c r="CC8" s="79"/>
      <c r="CD8" s="79"/>
      <c r="CE8" s="79"/>
      <c r="CF8" s="79"/>
      <c r="CG8" s="79"/>
      <c r="CH8" s="79"/>
      <c r="CI8" s="79"/>
      <c r="CJ8" s="79"/>
      <c r="CK8" s="79"/>
      <c r="CL8" s="79"/>
      <c r="CM8" s="79"/>
      <c r="CN8" s="79"/>
      <c r="CO8" s="79"/>
      <c r="CP8" s="79"/>
      <c r="CQ8" s="79"/>
      <c r="CR8" s="79"/>
      <c r="CS8" s="79"/>
      <c r="CT8" s="79"/>
      <c r="CU8" s="79"/>
      <c r="CV8" s="79"/>
      <c r="CW8" s="79"/>
      <c r="CX8" s="79"/>
      <c r="CY8" s="79"/>
      <c r="CZ8" s="79"/>
      <c r="DA8" s="79"/>
      <c r="DB8" s="79"/>
      <c r="DC8" s="79"/>
      <c r="DD8" s="79"/>
      <c r="DE8" s="79"/>
      <c r="DF8" s="79"/>
    </row>
    <row r="9" spans="1:110" s="81" customFormat="1">
      <c r="A9" s="12" t="s">
        <v>108</v>
      </c>
      <c r="B9" s="31" t="s">
        <v>97</v>
      </c>
      <c r="C9" s="96" t="s">
        <v>97</v>
      </c>
      <c r="D9" s="12" t="s">
        <v>118</v>
      </c>
      <c r="E9" s="12" t="s">
        <v>110</v>
      </c>
      <c r="F9" s="12" t="s">
        <v>100</v>
      </c>
      <c r="G9" s="97" t="s">
        <v>6</v>
      </c>
      <c r="H9" s="12" t="s">
        <v>101</v>
      </c>
      <c r="I9" s="12" t="s">
        <v>119</v>
      </c>
      <c r="J9" s="12" t="s">
        <v>107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65"/>
      <c r="AI9" s="98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  <c r="BM9" s="79"/>
      <c r="BN9" s="79"/>
      <c r="BO9" s="79"/>
      <c r="BP9" s="79"/>
      <c r="BQ9" s="79"/>
      <c r="BR9" s="79"/>
      <c r="BS9" s="79"/>
      <c r="BT9" s="79"/>
      <c r="BU9" s="79"/>
      <c r="BV9" s="79"/>
      <c r="BW9" s="79"/>
      <c r="BX9" s="79"/>
      <c r="BY9" s="79"/>
      <c r="BZ9" s="79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/>
      <c r="CR9" s="79"/>
      <c r="CS9" s="79"/>
      <c r="CT9" s="79"/>
      <c r="CU9" s="79"/>
      <c r="CV9" s="79"/>
      <c r="CW9" s="79"/>
      <c r="CX9" s="79"/>
      <c r="CY9" s="79"/>
      <c r="CZ9" s="79"/>
      <c r="DA9" s="79"/>
      <c r="DB9" s="79"/>
      <c r="DC9" s="79"/>
      <c r="DD9" s="79"/>
      <c r="DE9" s="79"/>
      <c r="DF9" s="79"/>
    </row>
    <row r="10" spans="1:110" s="81" customFormat="1" ht="30">
      <c r="A10" s="12" t="s">
        <v>108</v>
      </c>
      <c r="B10" s="31" t="s">
        <v>97</v>
      </c>
      <c r="C10" s="96" t="s">
        <v>97</v>
      </c>
      <c r="D10" s="12" t="s">
        <v>120</v>
      </c>
      <c r="E10" s="12" t="s">
        <v>110</v>
      </c>
      <c r="F10" s="12" t="s">
        <v>111</v>
      </c>
      <c r="G10" s="97" t="s">
        <v>6</v>
      </c>
      <c r="H10" s="65" t="s">
        <v>101</v>
      </c>
      <c r="I10" s="12" t="s">
        <v>112</v>
      </c>
      <c r="J10" s="12" t="s">
        <v>107</v>
      </c>
      <c r="K10" s="12"/>
      <c r="L10" s="65" t="s">
        <v>121</v>
      </c>
      <c r="M10" s="12"/>
      <c r="N10" s="65"/>
      <c r="O10" s="65"/>
      <c r="P10" s="65"/>
      <c r="Q10" s="65"/>
      <c r="R10" s="65"/>
      <c r="S10" s="65"/>
      <c r="T10" s="65" t="s">
        <v>105</v>
      </c>
      <c r="U10" s="65"/>
      <c r="V10" s="65"/>
      <c r="W10" s="65"/>
      <c r="X10" s="65"/>
      <c r="Y10" s="65"/>
      <c r="Z10" s="65" t="s">
        <v>122</v>
      </c>
      <c r="AA10" s="65"/>
      <c r="AB10" s="65"/>
      <c r="AC10" s="65"/>
      <c r="AD10" s="65"/>
      <c r="AE10" s="65"/>
      <c r="AF10" s="65"/>
      <c r="AG10" s="65"/>
      <c r="AH10" s="65"/>
      <c r="AI10" s="98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B10" s="79"/>
      <c r="CC10" s="79"/>
      <c r="CD10" s="79"/>
      <c r="CE10" s="79"/>
      <c r="CF10" s="79"/>
      <c r="CG10" s="79"/>
      <c r="CH10" s="79"/>
      <c r="CI10" s="79"/>
      <c r="CJ10" s="79"/>
      <c r="CK10" s="79"/>
      <c r="CL10" s="79"/>
      <c r="CM10" s="79"/>
      <c r="CN10" s="79"/>
      <c r="CO10" s="79"/>
      <c r="CP10" s="79"/>
      <c r="CQ10" s="79"/>
      <c r="CR10" s="79"/>
      <c r="CS10" s="79"/>
      <c r="CT10" s="79"/>
      <c r="CU10" s="79"/>
      <c r="CV10" s="79"/>
      <c r="CW10" s="79"/>
      <c r="CX10" s="79"/>
      <c r="CY10" s="79"/>
      <c r="CZ10" s="79"/>
      <c r="DA10" s="79"/>
      <c r="DB10" s="79"/>
      <c r="DC10" s="79"/>
      <c r="DD10" s="79"/>
      <c r="DE10" s="79"/>
      <c r="DF10" s="79"/>
    </row>
    <row r="11" spans="1:110" s="81" customFormat="1" ht="30">
      <c r="A11" s="12" t="s">
        <v>108</v>
      </c>
      <c r="B11" s="31" t="s">
        <v>97</v>
      </c>
      <c r="C11" s="96" t="s">
        <v>97</v>
      </c>
      <c r="D11" s="12" t="s">
        <v>123</v>
      </c>
      <c r="E11" s="12" t="s">
        <v>110</v>
      </c>
      <c r="F11" s="12" t="s">
        <v>111</v>
      </c>
      <c r="G11" s="97" t="s">
        <v>6</v>
      </c>
      <c r="H11" s="65" t="s">
        <v>101</v>
      </c>
      <c r="I11" s="12" t="s">
        <v>112</v>
      </c>
      <c r="J11" s="12" t="s">
        <v>103</v>
      </c>
      <c r="K11" s="12"/>
      <c r="L11" s="65" t="s">
        <v>121</v>
      </c>
      <c r="M11" s="12"/>
      <c r="N11" s="65"/>
      <c r="O11" s="65"/>
      <c r="P11" s="65"/>
      <c r="Q11" s="65"/>
      <c r="R11" s="65"/>
      <c r="S11" s="65"/>
      <c r="T11" s="65" t="s">
        <v>105</v>
      </c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98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79"/>
      <c r="BT11" s="79"/>
      <c r="BU11" s="79"/>
      <c r="BV11" s="79"/>
      <c r="BW11" s="79"/>
      <c r="BX11" s="79"/>
      <c r="BY11" s="79"/>
      <c r="BZ11" s="79"/>
      <c r="CA11" s="79"/>
      <c r="CB11" s="79"/>
      <c r="CC11" s="79"/>
      <c r="CD11" s="79"/>
      <c r="CE11" s="79"/>
      <c r="CF11" s="79"/>
      <c r="CG11" s="79"/>
      <c r="CH11" s="79"/>
      <c r="CI11" s="79"/>
      <c r="CJ11" s="79"/>
      <c r="CK11" s="79"/>
      <c r="CL11" s="79"/>
      <c r="CM11" s="79"/>
      <c r="CN11" s="79"/>
      <c r="CO11" s="79"/>
      <c r="CP11" s="79"/>
      <c r="CQ11" s="79"/>
      <c r="CR11" s="79"/>
      <c r="CS11" s="79"/>
      <c r="CT11" s="79"/>
      <c r="CU11" s="79"/>
      <c r="CV11" s="79"/>
      <c r="CW11" s="79"/>
      <c r="CX11" s="79"/>
      <c r="CY11" s="79"/>
      <c r="CZ11" s="79"/>
      <c r="DA11" s="79"/>
      <c r="DB11" s="79"/>
      <c r="DC11" s="79"/>
      <c r="DD11" s="79"/>
      <c r="DE11" s="79"/>
      <c r="DF11" s="79"/>
    </row>
    <row r="12" spans="1:110" ht="30">
      <c r="A12" s="12" t="s">
        <v>108</v>
      </c>
      <c r="B12" s="31" t="s">
        <v>97</v>
      </c>
      <c r="C12" s="96" t="s">
        <v>97</v>
      </c>
      <c r="D12" s="12" t="s">
        <v>124</v>
      </c>
      <c r="E12" s="12" t="s">
        <v>110</v>
      </c>
      <c r="F12" s="12" t="s">
        <v>111</v>
      </c>
      <c r="G12" s="97" t="s">
        <v>6</v>
      </c>
      <c r="H12" s="65" t="s">
        <v>101</v>
      </c>
      <c r="I12" s="12" t="s">
        <v>112</v>
      </c>
      <c r="J12" s="12" t="s">
        <v>107</v>
      </c>
      <c r="K12" s="12"/>
      <c r="L12" s="12" t="s">
        <v>104</v>
      </c>
      <c r="M12" s="12"/>
      <c r="N12" s="12"/>
      <c r="O12" s="12"/>
      <c r="P12" s="12"/>
      <c r="Q12" s="12"/>
      <c r="R12" s="12"/>
      <c r="S12" s="12" t="s">
        <v>105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65"/>
      <c r="AI12" s="98"/>
    </row>
    <row r="13" spans="1:110" s="81" customFormat="1" ht="30">
      <c r="A13" s="12" t="s">
        <v>108</v>
      </c>
      <c r="B13" s="31" t="s">
        <v>97</v>
      </c>
      <c r="C13" s="96" t="s">
        <v>97</v>
      </c>
      <c r="D13" s="12" t="s">
        <v>125</v>
      </c>
      <c r="E13" s="12" t="s">
        <v>110</v>
      </c>
      <c r="F13" s="12" t="s">
        <v>111</v>
      </c>
      <c r="G13" s="97" t="s">
        <v>6</v>
      </c>
      <c r="H13" s="65" t="s">
        <v>101</v>
      </c>
      <c r="I13" s="12" t="s">
        <v>112</v>
      </c>
      <c r="J13" s="12" t="s">
        <v>103</v>
      </c>
      <c r="K13" s="12"/>
      <c r="L13" s="65" t="s">
        <v>126</v>
      </c>
      <c r="M13" s="12" t="s">
        <v>105</v>
      </c>
      <c r="N13" s="65"/>
      <c r="O13" s="65"/>
      <c r="P13" s="65"/>
      <c r="Q13" s="65"/>
      <c r="R13" s="65"/>
      <c r="S13" s="65" t="s">
        <v>122</v>
      </c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98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79"/>
      <c r="CF13" s="79"/>
      <c r="CG13" s="79"/>
      <c r="CH13" s="79"/>
      <c r="CI13" s="79"/>
      <c r="CJ13" s="79"/>
      <c r="CK13" s="79"/>
      <c r="CL13" s="79"/>
      <c r="CM13" s="79"/>
      <c r="CN13" s="79"/>
      <c r="CO13" s="79"/>
      <c r="CP13" s="79"/>
      <c r="CQ13" s="79"/>
      <c r="CR13" s="79"/>
      <c r="CS13" s="79"/>
      <c r="CT13" s="79"/>
      <c r="CU13" s="79"/>
      <c r="CV13" s="79"/>
      <c r="CW13" s="79"/>
      <c r="CX13" s="79"/>
      <c r="CY13" s="79"/>
      <c r="CZ13" s="79"/>
      <c r="DA13" s="79"/>
      <c r="DB13" s="79"/>
      <c r="DC13" s="79"/>
      <c r="DD13" s="79"/>
      <c r="DE13" s="79"/>
      <c r="DF13" s="79"/>
    </row>
    <row r="14" spans="1:110" s="81" customFormat="1" ht="30">
      <c r="A14" s="12" t="s">
        <v>108</v>
      </c>
      <c r="B14" s="31" t="s">
        <v>96</v>
      </c>
      <c r="C14" s="96" t="s">
        <v>97</v>
      </c>
      <c r="D14" s="12" t="s">
        <v>127</v>
      </c>
      <c r="E14" s="12" t="s">
        <v>110</v>
      </c>
      <c r="F14" s="12" t="s">
        <v>111</v>
      </c>
      <c r="G14" s="97" t="s">
        <v>6</v>
      </c>
      <c r="H14" s="65" t="s">
        <v>101</v>
      </c>
      <c r="I14" s="12" t="s">
        <v>112</v>
      </c>
      <c r="J14" s="12" t="s">
        <v>103</v>
      </c>
      <c r="K14" s="12"/>
      <c r="L14" s="65" t="s">
        <v>121</v>
      </c>
      <c r="M14" s="12"/>
      <c r="N14" s="65"/>
      <c r="O14" s="65"/>
      <c r="P14" s="65"/>
      <c r="Q14" s="65"/>
      <c r="R14" s="65"/>
      <c r="S14" s="12"/>
      <c r="T14" s="65" t="s">
        <v>105</v>
      </c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98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9"/>
      <c r="CO14" s="79"/>
      <c r="CP14" s="79"/>
      <c r="CQ14" s="79"/>
      <c r="CR14" s="79"/>
      <c r="CS14" s="79"/>
      <c r="CT14" s="79"/>
      <c r="CU14" s="79"/>
      <c r="CV14" s="79"/>
      <c r="CW14" s="79"/>
      <c r="CX14" s="79"/>
      <c r="CY14" s="79"/>
      <c r="CZ14" s="79"/>
      <c r="DA14" s="79"/>
      <c r="DB14" s="79"/>
      <c r="DC14" s="79"/>
      <c r="DD14" s="79"/>
      <c r="DE14" s="79"/>
      <c r="DF14" s="79"/>
    </row>
    <row r="15" spans="1:110" s="81" customFormat="1" ht="30">
      <c r="A15" s="12" t="s">
        <v>108</v>
      </c>
      <c r="B15" s="31" t="s">
        <v>97</v>
      </c>
      <c r="C15" s="96" t="s">
        <v>97</v>
      </c>
      <c r="D15" s="12" t="s">
        <v>128</v>
      </c>
      <c r="E15" s="12" t="s">
        <v>110</v>
      </c>
      <c r="F15" s="12" t="s">
        <v>111</v>
      </c>
      <c r="G15" s="97" t="s">
        <v>6</v>
      </c>
      <c r="H15" s="65" t="s">
        <v>101</v>
      </c>
      <c r="I15" s="12" t="s">
        <v>112</v>
      </c>
      <c r="J15" s="12" t="s">
        <v>107</v>
      </c>
      <c r="K15" s="12"/>
      <c r="L15" s="65" t="s">
        <v>104</v>
      </c>
      <c r="M15" s="12"/>
      <c r="N15" s="65"/>
      <c r="O15" s="65"/>
      <c r="P15" s="65"/>
      <c r="Q15" s="65"/>
      <c r="R15" s="65"/>
      <c r="S15" s="12" t="s">
        <v>105</v>
      </c>
      <c r="T15" s="65" t="s">
        <v>105</v>
      </c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98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/>
      <c r="CX15" s="79"/>
      <c r="CY15" s="79"/>
      <c r="CZ15" s="79"/>
      <c r="DA15" s="79"/>
      <c r="DB15" s="79"/>
      <c r="DC15" s="79"/>
      <c r="DD15" s="79"/>
      <c r="DE15" s="79"/>
      <c r="DF15" s="79"/>
    </row>
    <row r="16" spans="1:110" ht="30">
      <c r="A16" s="12" t="s">
        <v>108</v>
      </c>
      <c r="B16" s="31" t="s">
        <v>97</v>
      </c>
      <c r="C16" s="96" t="s">
        <v>97</v>
      </c>
      <c r="D16" s="12" t="s">
        <v>129</v>
      </c>
      <c r="E16" s="12" t="s">
        <v>110</v>
      </c>
      <c r="F16" s="12" t="s">
        <v>111</v>
      </c>
      <c r="G16" s="97" t="s">
        <v>6</v>
      </c>
      <c r="H16" s="65" t="s">
        <v>101</v>
      </c>
      <c r="I16" s="12" t="s">
        <v>112</v>
      </c>
      <c r="J16" s="12" t="s">
        <v>114</v>
      </c>
      <c r="K16" s="12"/>
      <c r="L16" s="65" t="s">
        <v>104</v>
      </c>
      <c r="M16" s="12"/>
      <c r="N16" s="65"/>
      <c r="O16" s="65"/>
      <c r="P16" s="65"/>
      <c r="Q16" s="65"/>
      <c r="R16" s="65"/>
      <c r="S16" s="12" t="s">
        <v>105</v>
      </c>
      <c r="T16" s="65" t="s">
        <v>105</v>
      </c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98"/>
    </row>
    <row r="17" spans="1:35" ht="30">
      <c r="A17" s="12" t="s">
        <v>108</v>
      </c>
      <c r="B17" s="31" t="s">
        <v>96</v>
      </c>
      <c r="C17" s="96" t="s">
        <v>96</v>
      </c>
      <c r="D17" s="12" t="s">
        <v>130</v>
      </c>
      <c r="E17" s="12" t="s">
        <v>110</v>
      </c>
      <c r="F17" s="12" t="s">
        <v>111</v>
      </c>
      <c r="G17" s="97" t="s">
        <v>6</v>
      </c>
      <c r="H17" s="65" t="s">
        <v>101</v>
      </c>
      <c r="I17" s="12" t="s">
        <v>112</v>
      </c>
      <c r="J17" s="12" t="s">
        <v>107</v>
      </c>
      <c r="K17" s="12"/>
      <c r="L17" s="65" t="s">
        <v>131</v>
      </c>
      <c r="M17" s="12"/>
      <c r="N17" s="65" t="s">
        <v>105</v>
      </c>
      <c r="O17" s="65"/>
      <c r="P17" s="65"/>
      <c r="Q17" s="65"/>
      <c r="R17" s="65"/>
      <c r="S17" s="65" t="s">
        <v>105</v>
      </c>
      <c r="T17" s="65" t="s">
        <v>105</v>
      </c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98"/>
    </row>
    <row r="18" spans="1:35" ht="30">
      <c r="A18" s="12" t="s">
        <v>108</v>
      </c>
      <c r="B18" s="31" t="s">
        <v>96</v>
      </c>
      <c r="C18" s="96" t="s">
        <v>97</v>
      </c>
      <c r="D18" s="12" t="s">
        <v>132</v>
      </c>
      <c r="E18" s="12" t="s">
        <v>110</v>
      </c>
      <c r="F18" s="12" t="s">
        <v>111</v>
      </c>
      <c r="G18" s="97" t="s">
        <v>6</v>
      </c>
      <c r="H18" s="65" t="s">
        <v>101</v>
      </c>
      <c r="I18" s="12" t="s">
        <v>112</v>
      </c>
      <c r="J18" s="12" t="s">
        <v>107</v>
      </c>
      <c r="K18" s="12"/>
      <c r="L18" s="65"/>
      <c r="M18" s="12"/>
      <c r="N18" s="65" t="s">
        <v>105</v>
      </c>
      <c r="O18" s="65"/>
      <c r="P18" s="65"/>
      <c r="Q18" s="65"/>
      <c r="R18" s="65"/>
      <c r="S18" s="65"/>
      <c r="T18" s="65" t="s">
        <v>105</v>
      </c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98"/>
    </row>
    <row r="19" spans="1:35" ht="30">
      <c r="A19" s="12" t="s">
        <v>108</v>
      </c>
      <c r="B19" s="31" t="s">
        <v>96</v>
      </c>
      <c r="C19" s="96" t="s">
        <v>96</v>
      </c>
      <c r="D19" s="12" t="s">
        <v>133</v>
      </c>
      <c r="E19" s="12" t="s">
        <v>110</v>
      </c>
      <c r="F19" s="12" t="s">
        <v>111</v>
      </c>
      <c r="G19" s="97" t="s">
        <v>6</v>
      </c>
      <c r="H19" s="65" t="s">
        <v>101</v>
      </c>
      <c r="I19" s="12" t="s">
        <v>112</v>
      </c>
      <c r="J19" s="12" t="s">
        <v>107</v>
      </c>
      <c r="K19" s="12"/>
      <c r="L19" s="65"/>
      <c r="M19" s="12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98"/>
    </row>
    <row r="20" spans="1:35" ht="30">
      <c r="A20" s="12" t="s">
        <v>108</v>
      </c>
      <c r="B20" s="31" t="s">
        <v>97</v>
      </c>
      <c r="C20" s="96" t="s">
        <v>97</v>
      </c>
      <c r="D20" s="12" t="s">
        <v>134</v>
      </c>
      <c r="E20" s="12" t="s">
        <v>110</v>
      </c>
      <c r="F20" s="12" t="s">
        <v>111</v>
      </c>
      <c r="G20" s="97" t="s">
        <v>6</v>
      </c>
      <c r="H20" s="65" t="s">
        <v>101</v>
      </c>
      <c r="I20" s="12" t="s">
        <v>112</v>
      </c>
      <c r="J20" s="12" t="s">
        <v>107</v>
      </c>
      <c r="K20" s="12"/>
      <c r="L20" s="65"/>
      <c r="M20" s="12"/>
      <c r="N20" s="65" t="s">
        <v>105</v>
      </c>
      <c r="O20" s="65"/>
      <c r="P20" s="65"/>
      <c r="Q20" s="65"/>
      <c r="R20" s="65"/>
      <c r="S20" s="65" t="s">
        <v>105</v>
      </c>
      <c r="T20" s="65" t="s">
        <v>105</v>
      </c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98"/>
    </row>
    <row r="21" spans="1:35" ht="30">
      <c r="A21" s="12" t="s">
        <v>108</v>
      </c>
      <c r="B21" s="31" t="s">
        <v>96</v>
      </c>
      <c r="C21" s="96" t="s">
        <v>97</v>
      </c>
      <c r="D21" s="12" t="s">
        <v>135</v>
      </c>
      <c r="E21" s="12" t="s">
        <v>110</v>
      </c>
      <c r="F21" s="12" t="s">
        <v>111</v>
      </c>
      <c r="G21" s="97" t="s">
        <v>6</v>
      </c>
      <c r="H21" s="65" t="s">
        <v>101</v>
      </c>
      <c r="I21" s="12" t="s">
        <v>112</v>
      </c>
      <c r="J21" s="12" t="s">
        <v>114</v>
      </c>
      <c r="K21" s="12"/>
      <c r="L21" s="65"/>
      <c r="M21" s="12"/>
      <c r="N21" s="65" t="s">
        <v>105</v>
      </c>
      <c r="O21" s="65"/>
      <c r="P21" s="65"/>
      <c r="Q21" s="65"/>
      <c r="R21" s="65"/>
      <c r="S21" s="12" t="s">
        <v>105</v>
      </c>
      <c r="T21" s="65" t="s">
        <v>105</v>
      </c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98"/>
    </row>
    <row r="22" spans="1:35" ht="30">
      <c r="A22" s="12" t="s">
        <v>108</v>
      </c>
      <c r="B22" s="31" t="s">
        <v>97</v>
      </c>
      <c r="C22" s="96" t="s">
        <v>96</v>
      </c>
      <c r="D22" s="12" t="s">
        <v>136</v>
      </c>
      <c r="E22" s="12" t="s">
        <v>110</v>
      </c>
      <c r="F22" s="12" t="s">
        <v>111</v>
      </c>
      <c r="G22" s="97" t="s">
        <v>6</v>
      </c>
      <c r="H22" s="65" t="s">
        <v>101</v>
      </c>
      <c r="I22" s="12" t="s">
        <v>112</v>
      </c>
      <c r="J22" s="12" t="s">
        <v>107</v>
      </c>
      <c r="K22" s="12"/>
      <c r="L22" s="65"/>
      <c r="M22" s="12"/>
      <c r="N22" s="65" t="s">
        <v>105</v>
      </c>
      <c r="O22" s="65"/>
      <c r="P22" s="65"/>
      <c r="Q22" s="65"/>
      <c r="R22" s="65"/>
      <c r="S22" s="65"/>
      <c r="T22" s="65" t="s">
        <v>105</v>
      </c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98"/>
    </row>
    <row r="23" spans="1:35" ht="30">
      <c r="A23" s="12" t="s">
        <v>108</v>
      </c>
      <c r="B23" s="31" t="s">
        <v>97</v>
      </c>
      <c r="C23" s="96" t="s">
        <v>97</v>
      </c>
      <c r="D23" s="12" t="s">
        <v>137</v>
      </c>
      <c r="E23" s="12" t="s">
        <v>110</v>
      </c>
      <c r="F23" s="12" t="s">
        <v>111</v>
      </c>
      <c r="G23" s="97" t="s">
        <v>6</v>
      </c>
      <c r="H23" s="65" t="s">
        <v>101</v>
      </c>
      <c r="I23" s="12" t="s">
        <v>112</v>
      </c>
      <c r="J23" s="12" t="s">
        <v>107</v>
      </c>
      <c r="K23" s="12"/>
      <c r="L23" s="65"/>
      <c r="M23" s="12"/>
      <c r="N23" s="65" t="s">
        <v>105</v>
      </c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98"/>
    </row>
    <row r="24" spans="1:35" ht="30">
      <c r="A24" s="12" t="s">
        <v>108</v>
      </c>
      <c r="B24" s="31" t="s">
        <v>97</v>
      </c>
      <c r="C24" s="96" t="s">
        <v>97</v>
      </c>
      <c r="D24" s="12" t="s">
        <v>138</v>
      </c>
      <c r="E24" s="12" t="s">
        <v>110</v>
      </c>
      <c r="F24" s="12" t="s">
        <v>111</v>
      </c>
      <c r="G24" s="97" t="s">
        <v>6</v>
      </c>
      <c r="H24" s="65" t="s">
        <v>101</v>
      </c>
      <c r="I24" s="12" t="s">
        <v>112</v>
      </c>
      <c r="J24" s="12" t="s">
        <v>107</v>
      </c>
      <c r="K24" s="12"/>
      <c r="L24" s="65"/>
      <c r="M24" s="12"/>
      <c r="N24" s="65" t="s">
        <v>105</v>
      </c>
      <c r="O24" s="65"/>
      <c r="P24" s="65"/>
      <c r="Q24" s="65"/>
      <c r="R24" s="65"/>
      <c r="S24" s="65" t="s">
        <v>105</v>
      </c>
      <c r="T24" s="65" t="s">
        <v>105</v>
      </c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98"/>
    </row>
    <row r="25" spans="1:35" ht="30">
      <c r="A25" s="12" t="s">
        <v>108</v>
      </c>
      <c r="B25" s="31" t="s">
        <v>97</v>
      </c>
      <c r="C25" s="96" t="s">
        <v>97</v>
      </c>
      <c r="D25" s="12" t="s">
        <v>139</v>
      </c>
      <c r="E25" s="12" t="s">
        <v>110</v>
      </c>
      <c r="F25" s="12" t="s">
        <v>111</v>
      </c>
      <c r="G25" s="97" t="s">
        <v>6</v>
      </c>
      <c r="H25" s="65" t="s">
        <v>101</v>
      </c>
      <c r="I25" s="12" t="s">
        <v>112</v>
      </c>
      <c r="J25" s="12" t="s">
        <v>114</v>
      </c>
      <c r="K25" s="12"/>
      <c r="L25" s="65"/>
      <c r="M25" s="12"/>
      <c r="N25" s="65" t="s">
        <v>105</v>
      </c>
      <c r="O25" s="65"/>
      <c r="P25" s="65"/>
      <c r="Q25" s="65"/>
      <c r="R25" s="65"/>
      <c r="S25" s="12" t="s">
        <v>105</v>
      </c>
      <c r="T25" s="65" t="s">
        <v>105</v>
      </c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98"/>
    </row>
    <row r="26" spans="1:35" ht="30">
      <c r="A26" s="12" t="s">
        <v>108</v>
      </c>
      <c r="B26" s="31" t="s">
        <v>96</v>
      </c>
      <c r="C26" s="96" t="s">
        <v>97</v>
      </c>
      <c r="D26" s="12" t="s">
        <v>140</v>
      </c>
      <c r="E26" s="12" t="s">
        <v>110</v>
      </c>
      <c r="F26" s="12" t="s">
        <v>111</v>
      </c>
      <c r="G26" s="97" t="s">
        <v>6</v>
      </c>
      <c r="H26" s="65" t="s">
        <v>101</v>
      </c>
      <c r="I26" s="12" t="s">
        <v>112</v>
      </c>
      <c r="J26" s="12" t="s">
        <v>107</v>
      </c>
      <c r="K26" s="12"/>
      <c r="L26" s="65"/>
      <c r="M26" s="12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98"/>
    </row>
    <row r="27" spans="1:35" ht="30">
      <c r="A27" s="12" t="s">
        <v>108</v>
      </c>
      <c r="B27" s="31" t="s">
        <v>97</v>
      </c>
      <c r="C27" s="96" t="s">
        <v>96</v>
      </c>
      <c r="D27" s="12" t="s">
        <v>141</v>
      </c>
      <c r="E27" s="12" t="s">
        <v>110</v>
      </c>
      <c r="F27" s="12" t="s">
        <v>111</v>
      </c>
      <c r="G27" s="97" t="s">
        <v>6</v>
      </c>
      <c r="H27" s="65" t="s">
        <v>101</v>
      </c>
      <c r="I27" s="12" t="s">
        <v>112</v>
      </c>
      <c r="J27" s="12" t="s">
        <v>107</v>
      </c>
      <c r="K27" s="12"/>
      <c r="L27" s="65"/>
      <c r="M27" s="12"/>
      <c r="N27" s="65" t="s">
        <v>105</v>
      </c>
      <c r="O27" s="65"/>
      <c r="P27" s="65"/>
      <c r="Q27" s="65"/>
      <c r="R27" s="65"/>
      <c r="S27" s="65"/>
      <c r="T27" s="65" t="s">
        <v>105</v>
      </c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98"/>
    </row>
    <row r="28" spans="1:35">
      <c r="A28" s="12" t="s">
        <v>142</v>
      </c>
      <c r="B28" s="31" t="s">
        <v>97</v>
      </c>
      <c r="C28" s="96" t="s">
        <v>97</v>
      </c>
      <c r="D28" s="12" t="s">
        <v>143</v>
      </c>
      <c r="E28" s="12" t="s">
        <v>144</v>
      </c>
      <c r="F28" s="12" t="s">
        <v>8</v>
      </c>
      <c r="G28" s="97" t="s">
        <v>6</v>
      </c>
      <c r="H28" s="65" t="s">
        <v>145</v>
      </c>
      <c r="I28" s="12" t="s">
        <v>119</v>
      </c>
      <c r="J28" s="12" t="s">
        <v>107</v>
      </c>
      <c r="K28" s="65" t="s">
        <v>146</v>
      </c>
      <c r="L28" s="12" t="s">
        <v>147</v>
      </c>
      <c r="M28" s="12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98"/>
    </row>
    <row r="29" spans="1:35">
      <c r="A29" s="12"/>
      <c r="B29" s="31" t="s">
        <v>97</v>
      </c>
      <c r="C29" s="96" t="s">
        <v>96</v>
      </c>
      <c r="D29" s="12" t="s">
        <v>148</v>
      </c>
      <c r="E29" s="12" t="s">
        <v>149</v>
      </c>
      <c r="F29" s="12" t="s">
        <v>100</v>
      </c>
      <c r="G29" s="97" t="s">
        <v>6</v>
      </c>
      <c r="H29" s="65" t="s">
        <v>145</v>
      </c>
      <c r="I29" s="12" t="s">
        <v>119</v>
      </c>
      <c r="J29" s="12" t="s">
        <v>107</v>
      </c>
      <c r="K29" s="65" t="s">
        <v>146</v>
      </c>
      <c r="L29" s="12" t="s">
        <v>147</v>
      </c>
      <c r="M29" s="12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98"/>
    </row>
    <row r="30" spans="1:35">
      <c r="A30" s="12"/>
      <c r="B30" s="31" t="s">
        <v>97</v>
      </c>
      <c r="C30" s="96" t="s">
        <v>96</v>
      </c>
      <c r="D30" s="12" t="s">
        <v>150</v>
      </c>
      <c r="E30" s="12"/>
      <c r="F30" s="12" t="s">
        <v>8</v>
      </c>
      <c r="G30" s="97" t="s">
        <v>6</v>
      </c>
      <c r="H30" s="65" t="s">
        <v>145</v>
      </c>
      <c r="I30" s="12" t="s">
        <v>151</v>
      </c>
      <c r="J30" s="12" t="s">
        <v>107</v>
      </c>
      <c r="K30" s="65"/>
      <c r="L30" s="12" t="s">
        <v>147</v>
      </c>
      <c r="M30" s="12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98"/>
    </row>
    <row r="31" spans="1:35">
      <c r="A31" s="12" t="s">
        <v>95</v>
      </c>
      <c r="B31" s="31" t="s">
        <v>97</v>
      </c>
      <c r="C31" s="96" t="s">
        <v>96</v>
      </c>
      <c r="D31" s="12" t="s">
        <v>152</v>
      </c>
      <c r="E31" s="12" t="s">
        <v>149</v>
      </c>
      <c r="F31" s="12" t="s">
        <v>100</v>
      </c>
      <c r="G31" s="97" t="s">
        <v>6</v>
      </c>
      <c r="H31" s="65" t="s">
        <v>145</v>
      </c>
      <c r="I31" s="12" t="s">
        <v>119</v>
      </c>
      <c r="J31" s="12" t="s">
        <v>107</v>
      </c>
      <c r="K31" s="65" t="s">
        <v>146</v>
      </c>
      <c r="L31" s="12" t="s">
        <v>147</v>
      </c>
      <c r="M31" s="12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98"/>
    </row>
    <row r="32" spans="1:35">
      <c r="A32" s="12"/>
      <c r="B32" s="31" t="s">
        <v>97</v>
      </c>
      <c r="C32" s="96" t="s">
        <v>96</v>
      </c>
      <c r="D32" s="12" t="s">
        <v>153</v>
      </c>
      <c r="E32" s="12" t="s">
        <v>154</v>
      </c>
      <c r="F32" s="12" t="s">
        <v>8</v>
      </c>
      <c r="G32" s="97" t="s">
        <v>6</v>
      </c>
      <c r="H32" s="65" t="s">
        <v>145</v>
      </c>
      <c r="I32" s="12" t="s">
        <v>151</v>
      </c>
      <c r="J32" s="12" t="s">
        <v>107</v>
      </c>
      <c r="K32" s="65"/>
      <c r="L32" s="12" t="s">
        <v>147</v>
      </c>
      <c r="M32" s="12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98"/>
    </row>
    <row r="33" spans="1:110">
      <c r="A33" s="12"/>
      <c r="B33" s="31" t="s">
        <v>97</v>
      </c>
      <c r="C33" s="96" t="s">
        <v>97</v>
      </c>
      <c r="D33" s="12" t="s">
        <v>155</v>
      </c>
      <c r="E33" s="12" t="s">
        <v>156</v>
      </c>
      <c r="F33" s="12" t="s">
        <v>8</v>
      </c>
      <c r="G33" s="97" t="s">
        <v>6</v>
      </c>
      <c r="H33" s="65" t="s">
        <v>145</v>
      </c>
      <c r="I33" s="12" t="s">
        <v>151</v>
      </c>
      <c r="J33" s="12" t="s">
        <v>107</v>
      </c>
      <c r="K33" s="65"/>
      <c r="L33" s="12" t="s">
        <v>147</v>
      </c>
      <c r="M33" s="12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98"/>
    </row>
    <row r="34" spans="1:110" ht="30">
      <c r="A34" s="12"/>
      <c r="B34" s="31" t="s">
        <v>97</v>
      </c>
      <c r="C34" s="96" t="s">
        <v>97</v>
      </c>
      <c r="D34" s="12" t="s">
        <v>157</v>
      </c>
      <c r="E34" s="12"/>
      <c r="F34" s="12" t="s">
        <v>8</v>
      </c>
      <c r="G34" s="97" t="s">
        <v>6</v>
      </c>
      <c r="H34" s="65" t="s">
        <v>145</v>
      </c>
      <c r="I34" s="12" t="s">
        <v>119</v>
      </c>
      <c r="J34" s="12" t="s">
        <v>107</v>
      </c>
      <c r="K34" s="65"/>
      <c r="L34" s="12" t="s">
        <v>147</v>
      </c>
      <c r="M34" s="12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98"/>
    </row>
    <row r="35" spans="1:110">
      <c r="A35" s="12"/>
      <c r="B35" s="31" t="s">
        <v>97</v>
      </c>
      <c r="C35" s="96" t="s">
        <v>96</v>
      </c>
      <c r="D35" s="12" t="s">
        <v>158</v>
      </c>
      <c r="E35" s="12" t="s">
        <v>154</v>
      </c>
      <c r="F35" s="12" t="s">
        <v>8</v>
      </c>
      <c r="G35" s="97" t="s">
        <v>6</v>
      </c>
      <c r="H35" s="65" t="s">
        <v>145</v>
      </c>
      <c r="I35" s="12" t="s">
        <v>151</v>
      </c>
      <c r="J35" s="12" t="s">
        <v>107</v>
      </c>
      <c r="K35" s="12"/>
      <c r="L35" s="12" t="s">
        <v>147</v>
      </c>
      <c r="M35" s="12"/>
      <c r="N35" s="12"/>
      <c r="O35" s="65"/>
      <c r="P35" s="12"/>
      <c r="Q35" s="12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98"/>
    </row>
    <row r="36" spans="1:110">
      <c r="A36" s="241" t="s">
        <v>95</v>
      </c>
      <c r="B36" s="31" t="s">
        <v>97</v>
      </c>
      <c r="C36" s="96" t="s">
        <v>96</v>
      </c>
      <c r="D36" s="12" t="s">
        <v>159</v>
      </c>
      <c r="E36" s="12" t="s">
        <v>160</v>
      </c>
      <c r="F36" s="12" t="s">
        <v>100</v>
      </c>
      <c r="G36" s="97" t="s">
        <v>6</v>
      </c>
      <c r="H36" s="65" t="s">
        <v>145</v>
      </c>
      <c r="I36" s="12" t="s">
        <v>119</v>
      </c>
      <c r="J36" s="12" t="s">
        <v>107</v>
      </c>
      <c r="K36" s="65" t="s">
        <v>146</v>
      </c>
      <c r="L36" s="12" t="s">
        <v>147</v>
      </c>
      <c r="M36" s="12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98"/>
    </row>
    <row r="37" spans="1:110">
      <c r="A37" s="241" t="s">
        <v>95</v>
      </c>
      <c r="B37" s="31" t="s">
        <v>97</v>
      </c>
      <c r="C37" s="96" t="s">
        <v>97</v>
      </c>
      <c r="D37" s="12" t="s">
        <v>161</v>
      </c>
      <c r="E37" s="12" t="s">
        <v>160</v>
      </c>
      <c r="F37" s="12" t="s">
        <v>100</v>
      </c>
      <c r="G37" s="97" t="s">
        <v>6</v>
      </c>
      <c r="H37" s="65" t="s">
        <v>145</v>
      </c>
      <c r="I37" s="12" t="s">
        <v>119</v>
      </c>
      <c r="J37" s="12" t="s">
        <v>107</v>
      </c>
      <c r="K37" s="65" t="s">
        <v>146</v>
      </c>
      <c r="L37" s="12" t="s">
        <v>147</v>
      </c>
      <c r="M37" s="12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98"/>
    </row>
    <row r="38" spans="1:110">
      <c r="A38" s="12"/>
      <c r="B38" s="31" t="s">
        <v>97</v>
      </c>
      <c r="C38" s="96" t="s">
        <v>97</v>
      </c>
      <c r="D38" s="12" t="s">
        <v>162</v>
      </c>
      <c r="E38" s="12"/>
      <c r="F38" s="12" t="s">
        <v>8</v>
      </c>
      <c r="G38" s="97" t="s">
        <v>6</v>
      </c>
      <c r="H38" s="65" t="s">
        <v>145</v>
      </c>
      <c r="I38" s="12" t="s">
        <v>119</v>
      </c>
      <c r="J38" s="12" t="s">
        <v>107</v>
      </c>
      <c r="K38" s="65" t="s">
        <v>146</v>
      </c>
      <c r="L38" s="12" t="s">
        <v>147</v>
      </c>
      <c r="M38" s="12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98"/>
    </row>
    <row r="39" spans="1:110">
      <c r="A39" s="12" t="s">
        <v>95</v>
      </c>
      <c r="B39" s="31" t="s">
        <v>97</v>
      </c>
      <c r="C39" s="96" t="s">
        <v>97</v>
      </c>
      <c r="D39" s="12" t="s">
        <v>163</v>
      </c>
      <c r="E39" s="12" t="s">
        <v>154</v>
      </c>
      <c r="F39" s="12" t="s">
        <v>8</v>
      </c>
      <c r="G39" s="97" t="s">
        <v>6</v>
      </c>
      <c r="H39" s="65" t="s">
        <v>145</v>
      </c>
      <c r="I39" s="12" t="s">
        <v>119</v>
      </c>
      <c r="J39" s="12" t="s">
        <v>107</v>
      </c>
      <c r="K39" s="65"/>
      <c r="L39" s="12" t="s">
        <v>147</v>
      </c>
      <c r="M39" s="12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98"/>
    </row>
    <row r="40" spans="1:110">
      <c r="A40" s="12"/>
      <c r="B40" s="31" t="s">
        <v>97</v>
      </c>
      <c r="C40" s="96" t="s">
        <v>96</v>
      </c>
      <c r="D40" s="12" t="s">
        <v>164</v>
      </c>
      <c r="E40" s="12" t="s">
        <v>149</v>
      </c>
      <c r="F40" s="12" t="s">
        <v>8</v>
      </c>
      <c r="G40" s="97" t="s">
        <v>6</v>
      </c>
      <c r="H40" s="65" t="s">
        <v>145</v>
      </c>
      <c r="I40" s="12" t="s">
        <v>151</v>
      </c>
      <c r="J40" s="12" t="s">
        <v>107</v>
      </c>
      <c r="K40" s="65"/>
      <c r="L40" s="12" t="s">
        <v>147</v>
      </c>
      <c r="M40" s="12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98"/>
    </row>
    <row r="41" spans="1:110">
      <c r="A41" s="12"/>
      <c r="B41" s="31" t="s">
        <v>97</v>
      </c>
      <c r="C41" s="96" t="s">
        <v>97</v>
      </c>
      <c r="D41" s="12" t="s">
        <v>165</v>
      </c>
      <c r="E41" s="12" t="s">
        <v>149</v>
      </c>
      <c r="F41" s="12" t="s">
        <v>100</v>
      </c>
      <c r="G41" s="97" t="s">
        <v>6</v>
      </c>
      <c r="H41" s="65" t="s">
        <v>145</v>
      </c>
      <c r="I41" s="12" t="s">
        <v>119</v>
      </c>
      <c r="J41" s="12" t="s">
        <v>107</v>
      </c>
      <c r="K41" s="65" t="s">
        <v>146</v>
      </c>
      <c r="L41" s="12" t="s">
        <v>147</v>
      </c>
      <c r="M41" s="12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98"/>
    </row>
    <row r="42" spans="1:110">
      <c r="A42" s="12"/>
      <c r="B42" s="31" t="s">
        <v>97</v>
      </c>
      <c r="C42" s="96" t="s">
        <v>97</v>
      </c>
      <c r="D42" s="12" t="s">
        <v>166</v>
      </c>
      <c r="E42" s="12" t="s">
        <v>149</v>
      </c>
      <c r="F42" s="12" t="s">
        <v>100</v>
      </c>
      <c r="G42" s="97" t="s">
        <v>6</v>
      </c>
      <c r="H42" s="65" t="s">
        <v>145</v>
      </c>
      <c r="I42" s="12" t="s">
        <v>119</v>
      </c>
      <c r="J42" s="12" t="s">
        <v>107</v>
      </c>
      <c r="K42" s="65" t="s">
        <v>146</v>
      </c>
      <c r="L42" s="12" t="s">
        <v>147</v>
      </c>
      <c r="M42" s="12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98"/>
    </row>
    <row r="43" spans="1:110">
      <c r="A43" s="12"/>
      <c r="B43" s="31" t="s">
        <v>97</v>
      </c>
      <c r="C43" s="96" t="s">
        <v>97</v>
      </c>
      <c r="D43" s="12" t="s">
        <v>167</v>
      </c>
      <c r="E43" s="12"/>
      <c r="F43" s="12" t="s">
        <v>100</v>
      </c>
      <c r="G43" s="97" t="s">
        <v>6</v>
      </c>
      <c r="H43" s="65" t="s">
        <v>145</v>
      </c>
      <c r="I43" s="12" t="s">
        <v>119</v>
      </c>
      <c r="J43" s="12" t="s">
        <v>107</v>
      </c>
      <c r="K43" s="65" t="s">
        <v>146</v>
      </c>
      <c r="L43" s="12" t="s">
        <v>147</v>
      </c>
      <c r="M43" s="12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98"/>
    </row>
    <row r="44" spans="1:110">
      <c r="A44" s="12"/>
      <c r="B44" s="31" t="s">
        <v>97</v>
      </c>
      <c r="C44" s="96" t="s">
        <v>97</v>
      </c>
      <c r="D44" s="12" t="s">
        <v>168</v>
      </c>
      <c r="E44" s="12" t="s">
        <v>154</v>
      </c>
      <c r="F44" s="12" t="s">
        <v>8</v>
      </c>
      <c r="G44" s="97" t="s">
        <v>6</v>
      </c>
      <c r="H44" s="65" t="s">
        <v>145</v>
      </c>
      <c r="I44" s="12" t="s">
        <v>151</v>
      </c>
      <c r="J44" s="12" t="s">
        <v>107</v>
      </c>
      <c r="K44" s="65"/>
      <c r="L44" s="12" t="s">
        <v>147</v>
      </c>
      <c r="M44" s="12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98"/>
    </row>
    <row r="45" spans="1:110" ht="30">
      <c r="A45" s="12"/>
      <c r="B45" s="31" t="s">
        <v>97</v>
      </c>
      <c r="C45" s="96" t="s">
        <v>96</v>
      </c>
      <c r="D45" s="12" t="s">
        <v>169</v>
      </c>
      <c r="E45" s="12" t="s">
        <v>170</v>
      </c>
      <c r="F45" s="12" t="s">
        <v>8</v>
      </c>
      <c r="G45" s="97" t="s">
        <v>6</v>
      </c>
      <c r="H45" s="12" t="s">
        <v>145</v>
      </c>
      <c r="I45" s="12" t="s">
        <v>151</v>
      </c>
      <c r="J45" s="12" t="s">
        <v>107</v>
      </c>
      <c r="K45" s="65" t="s">
        <v>171</v>
      </c>
      <c r="L45" s="65" t="s">
        <v>147</v>
      </c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65"/>
      <c r="AI45" s="98"/>
    </row>
    <row r="46" spans="1:110">
      <c r="A46" s="241" t="s">
        <v>95</v>
      </c>
      <c r="B46" s="31" t="s">
        <v>97</v>
      </c>
      <c r="C46" s="96" t="s">
        <v>96</v>
      </c>
      <c r="D46" s="12" t="s">
        <v>172</v>
      </c>
      <c r="E46" s="12" t="s">
        <v>160</v>
      </c>
      <c r="F46" s="12" t="s">
        <v>8</v>
      </c>
      <c r="G46" s="97" t="s">
        <v>6</v>
      </c>
      <c r="H46" s="12" t="s">
        <v>145</v>
      </c>
      <c r="I46" s="12" t="s">
        <v>119</v>
      </c>
      <c r="J46" s="12" t="s">
        <v>107</v>
      </c>
      <c r="K46" s="12" t="s">
        <v>146</v>
      </c>
      <c r="L46" s="12" t="s">
        <v>147</v>
      </c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65"/>
      <c r="AI46" s="98"/>
    </row>
    <row r="47" spans="1:110">
      <c r="A47" s="12"/>
      <c r="B47" s="31" t="s">
        <v>97</v>
      </c>
      <c r="C47" s="96" t="s">
        <v>97</v>
      </c>
      <c r="D47" s="12" t="s">
        <v>173</v>
      </c>
      <c r="E47" s="65"/>
      <c r="F47" s="12" t="s">
        <v>8</v>
      </c>
      <c r="G47" s="97" t="s">
        <v>6</v>
      </c>
      <c r="H47" s="65" t="s">
        <v>145</v>
      </c>
      <c r="I47" s="12" t="s">
        <v>119</v>
      </c>
      <c r="J47" s="12" t="s">
        <v>107</v>
      </c>
      <c r="K47" s="65" t="s">
        <v>146</v>
      </c>
      <c r="L47" s="12" t="s">
        <v>147</v>
      </c>
      <c r="M47" s="12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98"/>
    </row>
    <row r="48" spans="1:110" s="81" customFormat="1">
      <c r="A48" s="12"/>
      <c r="B48" s="31" t="s">
        <v>97</v>
      </c>
      <c r="C48" s="96" t="s">
        <v>97</v>
      </c>
      <c r="D48" s="12" t="s">
        <v>174</v>
      </c>
      <c r="E48" s="65" t="s">
        <v>149</v>
      </c>
      <c r="F48" s="12" t="s">
        <v>8</v>
      </c>
      <c r="G48" s="97" t="s">
        <v>6</v>
      </c>
      <c r="H48" s="65" t="s">
        <v>145</v>
      </c>
      <c r="I48" s="12" t="s">
        <v>151</v>
      </c>
      <c r="J48" s="12" t="s">
        <v>107</v>
      </c>
      <c r="K48" s="65"/>
      <c r="L48" s="12" t="s">
        <v>147</v>
      </c>
      <c r="M48" s="12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98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79"/>
      <c r="BL48" s="79"/>
      <c r="BM48" s="79"/>
      <c r="BN48" s="79"/>
      <c r="BO48" s="79"/>
      <c r="BP48" s="79"/>
      <c r="BQ48" s="79"/>
      <c r="BR48" s="79"/>
      <c r="BS48" s="79"/>
      <c r="BT48" s="79"/>
      <c r="BU48" s="79"/>
      <c r="BV48" s="79"/>
      <c r="BW48" s="79"/>
      <c r="BX48" s="79"/>
      <c r="BY48" s="79"/>
      <c r="BZ48" s="79"/>
      <c r="CA48" s="79"/>
      <c r="CB48" s="79"/>
      <c r="CC48" s="79"/>
      <c r="CD48" s="79"/>
      <c r="CE48" s="79"/>
      <c r="CF48" s="79"/>
      <c r="CG48" s="79"/>
      <c r="CH48" s="79"/>
      <c r="CI48" s="79"/>
      <c r="CJ48" s="79"/>
      <c r="CK48" s="79"/>
      <c r="CL48" s="79"/>
      <c r="CM48" s="79"/>
      <c r="CN48" s="79"/>
      <c r="CO48" s="79"/>
      <c r="CP48" s="79"/>
      <c r="CQ48" s="79"/>
      <c r="CR48" s="79"/>
      <c r="CS48" s="79"/>
      <c r="CT48" s="79"/>
      <c r="CU48" s="79"/>
      <c r="CV48" s="79"/>
      <c r="CW48" s="79"/>
      <c r="CX48" s="79"/>
      <c r="CY48" s="79"/>
      <c r="CZ48" s="79"/>
      <c r="DA48" s="79"/>
      <c r="DB48" s="79"/>
      <c r="DC48" s="79"/>
      <c r="DD48" s="79"/>
      <c r="DE48" s="79"/>
      <c r="DF48" s="79"/>
    </row>
    <row r="49" spans="1:110" s="81" customFormat="1">
      <c r="A49" s="12"/>
      <c r="B49" s="31" t="s">
        <v>97</v>
      </c>
      <c r="C49" s="96" t="s">
        <v>97</v>
      </c>
      <c r="D49" s="12" t="s">
        <v>175</v>
      </c>
      <c r="E49" s="12" t="s">
        <v>170</v>
      </c>
      <c r="F49" s="12" t="s">
        <v>8</v>
      </c>
      <c r="G49" s="97" t="s">
        <v>6</v>
      </c>
      <c r="H49" s="12" t="s">
        <v>145</v>
      </c>
      <c r="I49" s="12" t="s">
        <v>151</v>
      </c>
      <c r="J49" s="12" t="s">
        <v>107</v>
      </c>
      <c r="K49" s="65" t="s">
        <v>171</v>
      </c>
      <c r="L49" s="65" t="s">
        <v>147</v>
      </c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65"/>
      <c r="AI49" s="98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Q49" s="79"/>
      <c r="BR49" s="79"/>
      <c r="BS49" s="79"/>
      <c r="BT49" s="79"/>
      <c r="BU49" s="79"/>
      <c r="BV49" s="79"/>
      <c r="BW49" s="79"/>
      <c r="BX49" s="79"/>
      <c r="BY49" s="79"/>
      <c r="BZ49" s="79"/>
      <c r="CA49" s="79"/>
      <c r="CB49" s="79"/>
      <c r="CC49" s="79"/>
      <c r="CD49" s="79"/>
      <c r="CE49" s="79"/>
      <c r="CF49" s="79"/>
      <c r="CG49" s="79"/>
      <c r="CH49" s="79"/>
      <c r="CI49" s="79"/>
      <c r="CJ49" s="79"/>
      <c r="CK49" s="79"/>
      <c r="CL49" s="79"/>
      <c r="CM49" s="79"/>
      <c r="CN49" s="79"/>
      <c r="CO49" s="79"/>
      <c r="CP49" s="79"/>
      <c r="CQ49" s="79"/>
      <c r="CR49" s="79"/>
      <c r="CS49" s="79"/>
      <c r="CT49" s="79"/>
      <c r="CU49" s="79"/>
      <c r="CV49" s="79"/>
      <c r="CW49" s="79"/>
      <c r="CX49" s="79"/>
      <c r="CY49" s="79"/>
      <c r="CZ49" s="79"/>
      <c r="DA49" s="79"/>
      <c r="DB49" s="79"/>
      <c r="DC49" s="79"/>
      <c r="DD49" s="79"/>
      <c r="DE49" s="79"/>
      <c r="DF49" s="79"/>
    </row>
    <row r="50" spans="1:110" s="81" customFormat="1">
      <c r="A50" s="12"/>
      <c r="B50" s="31" t="s">
        <v>97</v>
      </c>
      <c r="C50" s="96" t="s">
        <v>97</v>
      </c>
      <c r="D50" s="12" t="s">
        <v>176</v>
      </c>
      <c r="E50" s="12" t="s">
        <v>170</v>
      </c>
      <c r="F50" s="12" t="s">
        <v>8</v>
      </c>
      <c r="G50" s="97" t="s">
        <v>6</v>
      </c>
      <c r="H50" s="12" t="s">
        <v>145</v>
      </c>
      <c r="I50" s="12" t="s">
        <v>151</v>
      </c>
      <c r="J50" s="12" t="s">
        <v>107</v>
      </c>
      <c r="K50" s="65" t="s">
        <v>171</v>
      </c>
      <c r="L50" s="65" t="s">
        <v>147</v>
      </c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65"/>
      <c r="AI50" s="98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79"/>
      <c r="BS50" s="79"/>
      <c r="BT50" s="79"/>
      <c r="BU50" s="79"/>
      <c r="BV50" s="79"/>
      <c r="BW50" s="79"/>
      <c r="BX50" s="79"/>
      <c r="BY50" s="79"/>
      <c r="BZ50" s="79"/>
      <c r="CA50" s="79"/>
      <c r="CB50" s="79"/>
      <c r="CC50" s="79"/>
      <c r="CD50" s="79"/>
      <c r="CE50" s="79"/>
      <c r="CF50" s="79"/>
      <c r="CG50" s="79"/>
      <c r="CH50" s="79"/>
      <c r="CI50" s="79"/>
      <c r="CJ50" s="79"/>
      <c r="CK50" s="79"/>
      <c r="CL50" s="79"/>
      <c r="CM50" s="79"/>
      <c r="CN50" s="79"/>
      <c r="CO50" s="79"/>
      <c r="CP50" s="79"/>
      <c r="CQ50" s="79"/>
      <c r="CR50" s="79"/>
      <c r="CS50" s="79"/>
      <c r="CT50" s="79"/>
      <c r="CU50" s="79"/>
      <c r="CV50" s="79"/>
      <c r="CW50" s="79"/>
      <c r="CX50" s="79"/>
      <c r="CY50" s="79"/>
      <c r="CZ50" s="79"/>
      <c r="DA50" s="79"/>
      <c r="DB50" s="79"/>
      <c r="DC50" s="79"/>
      <c r="DD50" s="79"/>
      <c r="DE50" s="79"/>
      <c r="DF50" s="79"/>
    </row>
    <row r="51" spans="1:110">
      <c r="A51" s="12"/>
      <c r="B51" s="31" t="s">
        <v>97</v>
      </c>
      <c r="C51" s="96" t="s">
        <v>97</v>
      </c>
      <c r="D51" s="12" t="s">
        <v>177</v>
      </c>
      <c r="E51" s="12" t="s">
        <v>170</v>
      </c>
      <c r="F51" s="12" t="s">
        <v>8</v>
      </c>
      <c r="G51" s="97" t="s">
        <v>6</v>
      </c>
      <c r="H51" s="12" t="s">
        <v>145</v>
      </c>
      <c r="I51" s="12" t="s">
        <v>151</v>
      </c>
      <c r="J51" s="12" t="s">
        <v>107</v>
      </c>
      <c r="K51" s="65" t="s">
        <v>171</v>
      </c>
      <c r="L51" s="65" t="s">
        <v>178</v>
      </c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65"/>
      <c r="AI51" s="98"/>
    </row>
    <row r="52" spans="1:110" s="82" customFormat="1">
      <c r="A52" s="12"/>
      <c r="B52" s="31" t="s">
        <v>97</v>
      </c>
      <c r="C52" s="96" t="s">
        <v>96</v>
      </c>
      <c r="D52" s="12" t="s">
        <v>179</v>
      </c>
      <c r="E52" s="12" t="s">
        <v>170</v>
      </c>
      <c r="F52" s="12" t="s">
        <v>8</v>
      </c>
      <c r="G52" s="97" t="s">
        <v>6</v>
      </c>
      <c r="H52" s="12" t="s">
        <v>145</v>
      </c>
      <c r="I52" s="12" t="s">
        <v>151</v>
      </c>
      <c r="J52" s="12" t="s">
        <v>107</v>
      </c>
      <c r="K52" s="65" t="s">
        <v>171</v>
      </c>
      <c r="L52" s="65" t="s">
        <v>147</v>
      </c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65"/>
      <c r="AI52" s="98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79"/>
      <c r="BS52" s="79"/>
      <c r="BT52" s="79"/>
      <c r="BU52" s="79"/>
      <c r="BV52" s="79"/>
      <c r="BW52" s="79"/>
      <c r="BX52" s="79"/>
      <c r="BY52" s="79"/>
      <c r="BZ52" s="79"/>
      <c r="CA52" s="79"/>
      <c r="CB52" s="79"/>
      <c r="CC52" s="79"/>
      <c r="CD52" s="79"/>
      <c r="CE52" s="79"/>
      <c r="CF52" s="79"/>
      <c r="CG52" s="79"/>
      <c r="CH52" s="79"/>
      <c r="CI52" s="79"/>
      <c r="CJ52" s="79"/>
      <c r="CK52" s="79"/>
      <c r="CL52" s="79"/>
      <c r="CM52" s="79"/>
      <c r="CN52" s="79"/>
      <c r="CO52" s="79"/>
      <c r="CP52" s="79"/>
      <c r="CQ52" s="79"/>
      <c r="CR52" s="79"/>
      <c r="CS52" s="79"/>
      <c r="CT52" s="79"/>
      <c r="CU52" s="79"/>
      <c r="CV52" s="79"/>
      <c r="CW52" s="79"/>
      <c r="CX52" s="79"/>
      <c r="CY52" s="79"/>
      <c r="CZ52" s="79"/>
      <c r="DA52" s="79"/>
      <c r="DB52" s="79"/>
      <c r="DC52" s="79"/>
      <c r="DD52" s="79"/>
      <c r="DE52" s="79"/>
      <c r="DF52" s="79"/>
    </row>
    <row r="53" spans="1:110" s="81" customFormat="1" ht="30">
      <c r="A53" s="12"/>
      <c r="B53" s="31" t="s">
        <v>97</v>
      </c>
      <c r="C53" s="96" t="s">
        <v>97</v>
      </c>
      <c r="D53" s="12" t="s">
        <v>180</v>
      </c>
      <c r="E53" s="12" t="s">
        <v>170</v>
      </c>
      <c r="F53" s="12" t="s">
        <v>8</v>
      </c>
      <c r="G53" s="97" t="s">
        <v>6</v>
      </c>
      <c r="H53" s="12" t="s">
        <v>145</v>
      </c>
      <c r="I53" s="12" t="s">
        <v>151</v>
      </c>
      <c r="J53" s="12" t="s">
        <v>107</v>
      </c>
      <c r="K53" s="65" t="s">
        <v>171</v>
      </c>
      <c r="L53" s="65" t="s">
        <v>147</v>
      </c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65"/>
      <c r="AI53" s="98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79"/>
      <c r="CG53" s="79"/>
      <c r="CH53" s="79"/>
      <c r="CI53" s="79"/>
      <c r="CJ53" s="79"/>
      <c r="CK53" s="79"/>
      <c r="CL53" s="79"/>
      <c r="CM53" s="79"/>
      <c r="CN53" s="79"/>
      <c r="CO53" s="79"/>
      <c r="CP53" s="79"/>
      <c r="CQ53" s="79"/>
      <c r="CR53" s="79"/>
      <c r="CS53" s="79"/>
      <c r="CT53" s="79"/>
      <c r="CU53" s="79"/>
      <c r="CV53" s="79"/>
      <c r="CW53" s="79"/>
      <c r="CX53" s="79"/>
      <c r="CY53" s="79"/>
      <c r="CZ53" s="79"/>
      <c r="DA53" s="79"/>
      <c r="DB53" s="79"/>
      <c r="DC53" s="79"/>
      <c r="DD53" s="79"/>
      <c r="DE53" s="79"/>
      <c r="DF53" s="79"/>
    </row>
    <row r="54" spans="1:110" s="81" customFormat="1">
      <c r="A54" s="12"/>
      <c r="B54" s="31" t="s">
        <v>97</v>
      </c>
      <c r="C54" s="96" t="s">
        <v>97</v>
      </c>
      <c r="D54" s="12" t="s">
        <v>181</v>
      </c>
      <c r="E54" s="12" t="s">
        <v>170</v>
      </c>
      <c r="F54" s="12" t="s">
        <v>100</v>
      </c>
      <c r="G54" s="97" t="s">
        <v>6</v>
      </c>
      <c r="H54" s="12" t="s">
        <v>145</v>
      </c>
      <c r="I54" s="12" t="s">
        <v>151</v>
      </c>
      <c r="J54" s="12" t="s">
        <v>107</v>
      </c>
      <c r="K54" s="65" t="s">
        <v>171</v>
      </c>
      <c r="L54" s="65" t="s">
        <v>147</v>
      </c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65"/>
      <c r="AI54" s="98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Q54" s="79"/>
      <c r="BR54" s="79"/>
      <c r="BS54" s="79"/>
      <c r="BT54" s="79"/>
      <c r="BU54" s="79"/>
      <c r="BV54" s="79"/>
      <c r="BW54" s="79"/>
      <c r="BX54" s="79"/>
      <c r="BY54" s="79"/>
      <c r="BZ54" s="79"/>
      <c r="CA54" s="79"/>
      <c r="CB54" s="79"/>
      <c r="CC54" s="79"/>
      <c r="CD54" s="79"/>
      <c r="CE54" s="79"/>
      <c r="CF54" s="79"/>
      <c r="CG54" s="79"/>
      <c r="CH54" s="79"/>
      <c r="CI54" s="79"/>
      <c r="CJ54" s="79"/>
      <c r="CK54" s="79"/>
      <c r="CL54" s="79"/>
      <c r="CM54" s="79"/>
      <c r="CN54" s="79"/>
      <c r="CO54" s="79"/>
      <c r="CP54" s="79"/>
      <c r="CQ54" s="79"/>
      <c r="CR54" s="79"/>
      <c r="CS54" s="79"/>
      <c r="CT54" s="79"/>
      <c r="CU54" s="79"/>
      <c r="CV54" s="79"/>
      <c r="CW54" s="79"/>
      <c r="CX54" s="79"/>
      <c r="CY54" s="79"/>
      <c r="CZ54" s="79"/>
      <c r="DA54" s="79"/>
      <c r="DB54" s="79"/>
      <c r="DC54" s="79"/>
      <c r="DD54" s="79"/>
      <c r="DE54" s="79"/>
      <c r="DF54" s="79"/>
    </row>
    <row r="55" spans="1:110" s="81" customFormat="1" ht="30">
      <c r="A55" s="12"/>
      <c r="B55" s="31" t="s">
        <v>97</v>
      </c>
      <c r="C55" s="96" t="s">
        <v>97</v>
      </c>
      <c r="D55" s="12" t="s">
        <v>182</v>
      </c>
      <c r="E55" s="12" t="s">
        <v>154</v>
      </c>
      <c r="F55" s="12" t="s">
        <v>8</v>
      </c>
      <c r="G55" s="97" t="s">
        <v>6</v>
      </c>
      <c r="H55" s="65" t="s">
        <v>145</v>
      </c>
      <c r="I55" s="12" t="s">
        <v>119</v>
      </c>
      <c r="J55" s="12" t="s">
        <v>107</v>
      </c>
      <c r="K55" s="65" t="s">
        <v>146</v>
      </c>
      <c r="L55" s="12" t="s">
        <v>147</v>
      </c>
      <c r="M55" s="12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98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Q55" s="79"/>
      <c r="BR55" s="79"/>
      <c r="BS55" s="79"/>
      <c r="BT55" s="79"/>
      <c r="BU55" s="79"/>
      <c r="BV55" s="79"/>
      <c r="BW55" s="79"/>
      <c r="BX55" s="79"/>
      <c r="BY55" s="79"/>
      <c r="BZ55" s="79"/>
      <c r="CA55" s="79"/>
      <c r="CB55" s="79"/>
      <c r="CC55" s="79"/>
      <c r="CD55" s="79"/>
      <c r="CE55" s="79"/>
      <c r="CF55" s="79"/>
      <c r="CG55" s="79"/>
      <c r="CH55" s="79"/>
      <c r="CI55" s="79"/>
      <c r="CJ55" s="79"/>
      <c r="CK55" s="79"/>
      <c r="CL55" s="79"/>
      <c r="CM55" s="79"/>
      <c r="CN55" s="79"/>
      <c r="CO55" s="79"/>
      <c r="CP55" s="79"/>
      <c r="CQ55" s="79"/>
      <c r="CR55" s="79"/>
      <c r="CS55" s="79"/>
      <c r="CT55" s="79"/>
      <c r="CU55" s="79"/>
      <c r="CV55" s="79"/>
      <c r="CW55" s="79"/>
      <c r="CX55" s="79"/>
      <c r="CY55" s="79"/>
      <c r="CZ55" s="79"/>
      <c r="DA55" s="79"/>
      <c r="DB55" s="79"/>
      <c r="DC55" s="79"/>
      <c r="DD55" s="79"/>
      <c r="DE55" s="79"/>
      <c r="DF55" s="79"/>
    </row>
    <row r="56" spans="1:110" s="81" customFormat="1">
      <c r="A56" s="12"/>
      <c r="B56" s="31" t="s">
        <v>97</v>
      </c>
      <c r="C56" s="96" t="s">
        <v>97</v>
      </c>
      <c r="D56" s="12" t="s">
        <v>183</v>
      </c>
      <c r="E56" s="12" t="s">
        <v>154</v>
      </c>
      <c r="F56" s="12" t="s">
        <v>8</v>
      </c>
      <c r="G56" s="97" t="s">
        <v>6</v>
      </c>
      <c r="H56" s="65" t="s">
        <v>145</v>
      </c>
      <c r="I56" s="12" t="s">
        <v>151</v>
      </c>
      <c r="J56" s="12" t="s">
        <v>107</v>
      </c>
      <c r="K56" s="65"/>
      <c r="L56" s="12" t="s">
        <v>147</v>
      </c>
      <c r="M56" s="12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98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79"/>
      <c r="BU56" s="79"/>
      <c r="BV56" s="79"/>
      <c r="BW56" s="79"/>
      <c r="BX56" s="79"/>
      <c r="BY56" s="79"/>
      <c r="BZ56" s="79"/>
      <c r="CA56" s="79"/>
      <c r="CB56" s="79"/>
      <c r="CC56" s="79"/>
      <c r="CD56" s="79"/>
      <c r="CE56" s="79"/>
      <c r="CF56" s="79"/>
      <c r="CG56" s="79"/>
      <c r="CH56" s="79"/>
      <c r="CI56" s="79"/>
      <c r="CJ56" s="79"/>
      <c r="CK56" s="79"/>
      <c r="CL56" s="79"/>
      <c r="CM56" s="79"/>
      <c r="CN56" s="79"/>
      <c r="CO56" s="79"/>
      <c r="CP56" s="79"/>
      <c r="CQ56" s="79"/>
      <c r="CR56" s="79"/>
      <c r="CS56" s="79"/>
      <c r="CT56" s="79"/>
      <c r="CU56" s="79"/>
      <c r="CV56" s="79"/>
      <c r="CW56" s="79"/>
      <c r="CX56" s="79"/>
      <c r="CY56" s="79"/>
      <c r="CZ56" s="79"/>
      <c r="DA56" s="79"/>
      <c r="DB56" s="79"/>
      <c r="DC56" s="79"/>
      <c r="DD56" s="79"/>
      <c r="DE56" s="79"/>
      <c r="DF56" s="79"/>
    </row>
    <row r="57" spans="1:110" s="81" customFormat="1">
      <c r="A57" s="12"/>
      <c r="B57" s="31" t="s">
        <v>97</v>
      </c>
      <c r="C57" s="96" t="s">
        <v>97</v>
      </c>
      <c r="D57" s="12" t="s">
        <v>184</v>
      </c>
      <c r="E57" s="12" t="s">
        <v>170</v>
      </c>
      <c r="F57" s="12" t="s">
        <v>8</v>
      </c>
      <c r="G57" s="97" t="s">
        <v>6</v>
      </c>
      <c r="H57" s="12" t="s">
        <v>145</v>
      </c>
      <c r="I57" s="12" t="s">
        <v>151</v>
      </c>
      <c r="J57" s="12" t="s">
        <v>107</v>
      </c>
      <c r="K57" s="65" t="s">
        <v>171</v>
      </c>
      <c r="L57" s="65" t="s">
        <v>147</v>
      </c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65"/>
      <c r="AI57" s="98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79"/>
      <c r="BH57" s="79"/>
      <c r="BI57" s="79"/>
      <c r="BJ57" s="79"/>
      <c r="BK57" s="79"/>
      <c r="BL57" s="79"/>
      <c r="BM57" s="79"/>
      <c r="BN57" s="79"/>
      <c r="BO57" s="79"/>
      <c r="BP57" s="79"/>
      <c r="BQ57" s="79"/>
      <c r="BR57" s="79"/>
      <c r="BS57" s="79"/>
      <c r="BT57" s="79"/>
      <c r="BU57" s="79"/>
      <c r="BV57" s="79"/>
      <c r="BW57" s="79"/>
      <c r="BX57" s="79"/>
      <c r="BY57" s="79"/>
      <c r="BZ57" s="79"/>
      <c r="CA57" s="79"/>
      <c r="CB57" s="79"/>
      <c r="CC57" s="79"/>
      <c r="CD57" s="79"/>
      <c r="CE57" s="79"/>
      <c r="CF57" s="79"/>
      <c r="CG57" s="79"/>
      <c r="CH57" s="79"/>
      <c r="CI57" s="79"/>
      <c r="CJ57" s="79"/>
      <c r="CK57" s="79"/>
      <c r="CL57" s="79"/>
      <c r="CM57" s="79"/>
      <c r="CN57" s="79"/>
      <c r="CO57" s="79"/>
      <c r="CP57" s="79"/>
      <c r="CQ57" s="79"/>
      <c r="CR57" s="79"/>
      <c r="CS57" s="79"/>
      <c r="CT57" s="79"/>
      <c r="CU57" s="79"/>
      <c r="CV57" s="79"/>
      <c r="CW57" s="79"/>
      <c r="CX57" s="79"/>
      <c r="CY57" s="79"/>
      <c r="CZ57" s="79"/>
      <c r="DA57" s="79"/>
      <c r="DB57" s="79"/>
      <c r="DC57" s="79"/>
      <c r="DD57" s="79"/>
      <c r="DE57" s="79"/>
      <c r="DF57" s="79"/>
    </row>
    <row r="58" spans="1:110" s="81" customFormat="1">
      <c r="A58" s="12"/>
      <c r="B58" s="31" t="s">
        <v>97</v>
      </c>
      <c r="C58" s="96" t="s">
        <v>97</v>
      </c>
      <c r="D58" s="12" t="s">
        <v>185</v>
      </c>
      <c r="E58" s="12"/>
      <c r="F58" s="12" t="s">
        <v>8</v>
      </c>
      <c r="G58" s="97" t="s">
        <v>6</v>
      </c>
      <c r="H58" s="65" t="s">
        <v>145</v>
      </c>
      <c r="I58" s="12" t="s">
        <v>119</v>
      </c>
      <c r="J58" s="12" t="s">
        <v>107</v>
      </c>
      <c r="K58" s="65"/>
      <c r="L58" s="12" t="s">
        <v>147</v>
      </c>
      <c r="M58" s="12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98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  <c r="BF58" s="79"/>
      <c r="BG58" s="79"/>
      <c r="BH58" s="79"/>
      <c r="BI58" s="79"/>
      <c r="BJ58" s="79"/>
      <c r="BK58" s="79"/>
      <c r="BL58" s="79"/>
      <c r="BM58" s="79"/>
      <c r="BN58" s="79"/>
      <c r="BO58" s="79"/>
      <c r="BP58" s="79"/>
      <c r="BQ58" s="79"/>
      <c r="BR58" s="79"/>
      <c r="BS58" s="79"/>
      <c r="BT58" s="79"/>
      <c r="BU58" s="79"/>
      <c r="BV58" s="79"/>
      <c r="BW58" s="79"/>
      <c r="BX58" s="79"/>
      <c r="BY58" s="79"/>
      <c r="BZ58" s="79"/>
      <c r="CA58" s="79"/>
      <c r="CB58" s="79"/>
      <c r="CC58" s="79"/>
      <c r="CD58" s="79"/>
      <c r="CE58" s="79"/>
      <c r="CF58" s="79"/>
      <c r="CG58" s="79"/>
      <c r="CH58" s="79"/>
      <c r="CI58" s="79"/>
      <c r="CJ58" s="79"/>
      <c r="CK58" s="79"/>
      <c r="CL58" s="79"/>
      <c r="CM58" s="79"/>
      <c r="CN58" s="79"/>
      <c r="CO58" s="79"/>
      <c r="CP58" s="79"/>
      <c r="CQ58" s="79"/>
      <c r="CR58" s="79"/>
      <c r="CS58" s="79"/>
      <c r="CT58" s="79"/>
      <c r="CU58" s="79"/>
      <c r="CV58" s="79"/>
      <c r="CW58" s="79"/>
      <c r="CX58" s="79"/>
      <c r="CY58" s="79"/>
      <c r="CZ58" s="79"/>
      <c r="DA58" s="79"/>
      <c r="DB58" s="79"/>
      <c r="DC58" s="79"/>
      <c r="DD58" s="79"/>
      <c r="DE58" s="79"/>
      <c r="DF58" s="79"/>
    </row>
    <row r="59" spans="1:110" s="81" customFormat="1" ht="30">
      <c r="A59" s="12" t="s">
        <v>142</v>
      </c>
      <c r="B59" s="31" t="s">
        <v>96</v>
      </c>
      <c r="C59" s="96" t="s">
        <v>97</v>
      </c>
      <c r="D59" s="12" t="s">
        <v>186</v>
      </c>
      <c r="E59" s="12" t="s">
        <v>154</v>
      </c>
      <c r="F59" s="12" t="s">
        <v>8</v>
      </c>
      <c r="G59" s="97" t="s">
        <v>6</v>
      </c>
      <c r="H59" s="65" t="s">
        <v>145</v>
      </c>
      <c r="I59" s="12" t="s">
        <v>151</v>
      </c>
      <c r="J59" s="12" t="s">
        <v>107</v>
      </c>
      <c r="K59" s="65"/>
      <c r="L59" s="12" t="s">
        <v>147</v>
      </c>
      <c r="M59" s="12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98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  <c r="CU59" s="79"/>
      <c r="CV59" s="79"/>
      <c r="CW59" s="79"/>
      <c r="CX59" s="79"/>
      <c r="CY59" s="79"/>
      <c r="CZ59" s="79"/>
      <c r="DA59" s="79"/>
      <c r="DB59" s="79"/>
      <c r="DC59" s="79"/>
      <c r="DD59" s="79"/>
      <c r="DE59" s="79"/>
      <c r="DF59" s="79"/>
    </row>
    <row r="60" spans="1:110" s="81" customFormat="1">
      <c r="A60" s="12"/>
      <c r="B60" s="31" t="s">
        <v>97</v>
      </c>
      <c r="C60" s="96" t="s">
        <v>97</v>
      </c>
      <c r="D60" s="12" t="s">
        <v>187</v>
      </c>
      <c r="E60" s="12" t="s">
        <v>154</v>
      </c>
      <c r="F60" s="12" t="s">
        <v>8</v>
      </c>
      <c r="G60" s="97" t="s">
        <v>6</v>
      </c>
      <c r="H60" s="65" t="s">
        <v>145</v>
      </c>
      <c r="I60" s="12" t="s">
        <v>151</v>
      </c>
      <c r="J60" s="12" t="s">
        <v>107</v>
      </c>
      <c r="K60" s="65"/>
      <c r="L60" s="12" t="s">
        <v>147</v>
      </c>
      <c r="M60" s="12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98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  <c r="CH60" s="79"/>
      <c r="CI60" s="79"/>
      <c r="CJ60" s="79"/>
      <c r="CK60" s="79"/>
      <c r="CL60" s="79"/>
      <c r="CM60" s="79"/>
      <c r="CN60" s="79"/>
      <c r="CO60" s="79"/>
      <c r="CP60" s="79"/>
      <c r="CQ60" s="79"/>
      <c r="CR60" s="79"/>
      <c r="CS60" s="79"/>
      <c r="CT60" s="79"/>
      <c r="CU60" s="79"/>
      <c r="CV60" s="79"/>
      <c r="CW60" s="79"/>
      <c r="CX60" s="79"/>
      <c r="CY60" s="79"/>
      <c r="CZ60" s="79"/>
      <c r="DA60" s="79"/>
      <c r="DB60" s="79"/>
      <c r="DC60" s="79"/>
      <c r="DD60" s="79"/>
      <c r="DE60" s="79"/>
      <c r="DF60" s="79"/>
    </row>
    <row r="61" spans="1:110" s="81" customFormat="1">
      <c r="A61" s="12"/>
      <c r="B61" s="31" t="s">
        <v>97</v>
      </c>
      <c r="C61" s="96" t="s">
        <v>97</v>
      </c>
      <c r="D61" s="12" t="s">
        <v>188</v>
      </c>
      <c r="E61" s="12"/>
      <c r="F61" s="12" t="s">
        <v>8</v>
      </c>
      <c r="G61" s="97" t="s">
        <v>6</v>
      </c>
      <c r="H61" s="65" t="s">
        <v>145</v>
      </c>
      <c r="I61" s="12" t="s">
        <v>119</v>
      </c>
      <c r="J61" s="12" t="s">
        <v>107</v>
      </c>
      <c r="K61" s="65"/>
      <c r="L61" s="12" t="s">
        <v>147</v>
      </c>
      <c r="M61" s="12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98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  <c r="BU61" s="79"/>
      <c r="BV61" s="79"/>
      <c r="BW61" s="79"/>
      <c r="BX61" s="79"/>
      <c r="BY61" s="79"/>
      <c r="BZ61" s="79"/>
      <c r="CA61" s="79"/>
      <c r="CB61" s="79"/>
      <c r="CC61" s="79"/>
      <c r="CD61" s="79"/>
      <c r="CE61" s="79"/>
      <c r="CF61" s="79"/>
      <c r="CG61" s="79"/>
      <c r="CH61" s="79"/>
      <c r="CI61" s="79"/>
      <c r="CJ61" s="79"/>
      <c r="CK61" s="79"/>
      <c r="CL61" s="79"/>
      <c r="CM61" s="79"/>
      <c r="CN61" s="79"/>
      <c r="CO61" s="79"/>
      <c r="CP61" s="79"/>
      <c r="CQ61" s="79"/>
      <c r="CR61" s="79"/>
      <c r="CS61" s="79"/>
      <c r="CT61" s="79"/>
      <c r="CU61" s="79"/>
      <c r="CV61" s="79"/>
      <c r="CW61" s="79"/>
      <c r="CX61" s="79"/>
      <c r="CY61" s="79"/>
      <c r="CZ61" s="79"/>
      <c r="DA61" s="79"/>
      <c r="DB61" s="79"/>
      <c r="DC61" s="79"/>
      <c r="DD61" s="79"/>
      <c r="DE61" s="79"/>
      <c r="DF61" s="79"/>
    </row>
    <row r="62" spans="1:110" s="81" customFormat="1">
      <c r="A62" s="12"/>
      <c r="B62" s="31" t="s">
        <v>97</v>
      </c>
      <c r="C62" s="96" t="s">
        <v>97</v>
      </c>
      <c r="D62" s="12" t="s">
        <v>189</v>
      </c>
      <c r="E62" s="65" t="s">
        <v>149</v>
      </c>
      <c r="F62" s="12" t="s">
        <v>8</v>
      </c>
      <c r="G62" s="97" t="s">
        <v>6</v>
      </c>
      <c r="H62" s="12" t="s">
        <v>145</v>
      </c>
      <c r="I62" s="12" t="s">
        <v>151</v>
      </c>
      <c r="J62" s="12" t="s">
        <v>107</v>
      </c>
      <c r="K62" s="65"/>
      <c r="L62" s="12" t="s">
        <v>147</v>
      </c>
      <c r="M62" s="12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98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  <c r="BF62" s="79"/>
      <c r="BG62" s="79"/>
      <c r="BH62" s="79"/>
      <c r="BI62" s="79"/>
      <c r="BJ62" s="79"/>
      <c r="BK62" s="79"/>
      <c r="BL62" s="79"/>
      <c r="BM62" s="79"/>
      <c r="BN62" s="79"/>
      <c r="BO62" s="79"/>
      <c r="BP62" s="79"/>
      <c r="BQ62" s="79"/>
      <c r="BR62" s="79"/>
      <c r="BS62" s="79"/>
      <c r="BT62" s="79"/>
      <c r="BU62" s="79"/>
      <c r="BV62" s="79"/>
      <c r="BW62" s="79"/>
      <c r="BX62" s="79"/>
      <c r="BY62" s="79"/>
      <c r="BZ62" s="79"/>
      <c r="CA62" s="79"/>
      <c r="CB62" s="79"/>
      <c r="CC62" s="79"/>
      <c r="CD62" s="79"/>
      <c r="CE62" s="79"/>
      <c r="CF62" s="79"/>
      <c r="CG62" s="79"/>
      <c r="CH62" s="79"/>
      <c r="CI62" s="79"/>
      <c r="CJ62" s="79"/>
      <c r="CK62" s="79"/>
      <c r="CL62" s="79"/>
      <c r="CM62" s="79"/>
      <c r="CN62" s="79"/>
      <c r="CO62" s="79"/>
      <c r="CP62" s="79"/>
      <c r="CQ62" s="79"/>
      <c r="CR62" s="79"/>
      <c r="CS62" s="79"/>
      <c r="CT62" s="79"/>
      <c r="CU62" s="79"/>
      <c r="CV62" s="79"/>
      <c r="CW62" s="79"/>
      <c r="CX62" s="79"/>
      <c r="CY62" s="79"/>
      <c r="CZ62" s="79"/>
      <c r="DA62" s="79"/>
      <c r="DB62" s="79"/>
      <c r="DC62" s="79"/>
      <c r="DD62" s="79"/>
      <c r="DE62" s="79"/>
      <c r="DF62" s="79"/>
    </row>
    <row r="63" spans="1:110" s="81" customFormat="1">
      <c r="A63" s="12" t="s">
        <v>95</v>
      </c>
      <c r="B63" s="31" t="s">
        <v>97</v>
      </c>
      <c r="C63" s="96" t="s">
        <v>97</v>
      </c>
      <c r="D63" s="12" t="s">
        <v>190</v>
      </c>
      <c r="E63" s="12"/>
      <c r="F63" s="12" t="s">
        <v>8</v>
      </c>
      <c r="G63" s="97" t="s">
        <v>6</v>
      </c>
      <c r="H63" s="65" t="s">
        <v>101</v>
      </c>
      <c r="I63" s="12" t="s">
        <v>119</v>
      </c>
      <c r="J63" s="12" t="s">
        <v>107</v>
      </c>
      <c r="K63" s="65"/>
      <c r="L63" s="12" t="s">
        <v>147</v>
      </c>
      <c r="M63" s="12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98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  <c r="CA63" s="79"/>
      <c r="CB63" s="79"/>
      <c r="CC63" s="79"/>
      <c r="CD63" s="79"/>
      <c r="CE63" s="79"/>
      <c r="CF63" s="79"/>
      <c r="CG63" s="79"/>
      <c r="CH63" s="79"/>
      <c r="CI63" s="79"/>
      <c r="CJ63" s="79"/>
      <c r="CK63" s="79"/>
      <c r="CL63" s="79"/>
      <c r="CM63" s="79"/>
      <c r="CN63" s="79"/>
      <c r="CO63" s="79"/>
      <c r="CP63" s="79"/>
      <c r="CQ63" s="79"/>
      <c r="CR63" s="79"/>
      <c r="CS63" s="79"/>
      <c r="CT63" s="79"/>
      <c r="CU63" s="79"/>
      <c r="CV63" s="79"/>
      <c r="CW63" s="79"/>
      <c r="CX63" s="79"/>
      <c r="CY63" s="79"/>
      <c r="CZ63" s="79"/>
      <c r="DA63" s="79"/>
      <c r="DB63" s="79"/>
      <c r="DC63" s="79"/>
      <c r="DD63" s="79"/>
      <c r="DE63" s="79"/>
      <c r="DF63" s="79"/>
    </row>
    <row r="64" spans="1:110">
      <c r="A64" s="12"/>
      <c r="B64" s="31" t="s">
        <v>97</v>
      </c>
      <c r="C64" s="96" t="s">
        <v>97</v>
      </c>
      <c r="D64" s="12" t="s">
        <v>191</v>
      </c>
      <c r="E64" s="12" t="s">
        <v>154</v>
      </c>
      <c r="F64" s="12" t="s">
        <v>100</v>
      </c>
      <c r="G64" s="97" t="s">
        <v>6</v>
      </c>
      <c r="H64" s="65" t="s">
        <v>145</v>
      </c>
      <c r="I64" s="12" t="s">
        <v>119</v>
      </c>
      <c r="J64" s="12" t="s">
        <v>107</v>
      </c>
      <c r="K64" s="65" t="s">
        <v>146</v>
      </c>
      <c r="L64" s="12" t="s">
        <v>147</v>
      </c>
      <c r="M64" s="12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98"/>
    </row>
    <row r="65" spans="1:110" s="81" customFormat="1">
      <c r="A65" s="12"/>
      <c r="B65" s="31" t="s">
        <v>97</v>
      </c>
      <c r="C65" s="96" t="s">
        <v>97</v>
      </c>
      <c r="D65" s="12" t="s">
        <v>192</v>
      </c>
      <c r="E65" s="12" t="s">
        <v>193</v>
      </c>
      <c r="F65" s="12" t="s">
        <v>8</v>
      </c>
      <c r="G65" s="97" t="s">
        <v>6</v>
      </c>
      <c r="H65" s="12" t="s">
        <v>145</v>
      </c>
      <c r="I65" s="12" t="s">
        <v>151</v>
      </c>
      <c r="J65" s="12" t="s">
        <v>194</v>
      </c>
      <c r="K65" s="12"/>
      <c r="L65" s="12" t="s">
        <v>147</v>
      </c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65"/>
      <c r="AI65" s="98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79"/>
      <c r="CG65" s="79"/>
      <c r="CH65" s="79"/>
      <c r="CI65" s="79"/>
      <c r="CJ65" s="79"/>
      <c r="CK65" s="79"/>
      <c r="CL65" s="79"/>
      <c r="CM65" s="79"/>
      <c r="CN65" s="79"/>
      <c r="CO65" s="79"/>
      <c r="CP65" s="79"/>
      <c r="CQ65" s="79"/>
      <c r="CR65" s="79"/>
      <c r="CS65" s="79"/>
      <c r="CT65" s="79"/>
      <c r="CU65" s="79"/>
      <c r="CV65" s="79"/>
      <c r="CW65" s="79"/>
      <c r="CX65" s="79"/>
      <c r="CY65" s="79"/>
      <c r="CZ65" s="79"/>
      <c r="DA65" s="79"/>
      <c r="DB65" s="79"/>
      <c r="DC65" s="79"/>
      <c r="DD65" s="79"/>
      <c r="DE65" s="79"/>
      <c r="DF65" s="79"/>
    </row>
    <row r="66" spans="1:110" s="81" customFormat="1" ht="30">
      <c r="A66" s="12" t="s">
        <v>95</v>
      </c>
      <c r="B66" s="31" t="s">
        <v>97</v>
      </c>
      <c r="C66" s="96" t="s">
        <v>97</v>
      </c>
      <c r="D66" s="12" t="s">
        <v>195</v>
      </c>
      <c r="E66" s="12" t="s">
        <v>196</v>
      </c>
      <c r="F66" s="12" t="s">
        <v>8</v>
      </c>
      <c r="G66" s="97" t="s">
        <v>6</v>
      </c>
      <c r="H66" s="65" t="s">
        <v>101</v>
      </c>
      <c r="I66" s="12" t="s">
        <v>112</v>
      </c>
      <c r="J66" s="12" t="s">
        <v>107</v>
      </c>
      <c r="K66" s="65"/>
      <c r="L66" s="12"/>
      <c r="M66" s="12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 t="s">
        <v>105</v>
      </c>
      <c r="AD66" s="65"/>
      <c r="AE66" s="65"/>
      <c r="AF66" s="65"/>
      <c r="AG66" s="65"/>
      <c r="AH66" s="65"/>
      <c r="AI66" s="98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79"/>
      <c r="CG66" s="79"/>
      <c r="CH66" s="79"/>
      <c r="CI66" s="79"/>
      <c r="CJ66" s="79"/>
      <c r="CK66" s="79"/>
      <c r="CL66" s="79"/>
      <c r="CM66" s="79"/>
      <c r="CN66" s="79"/>
      <c r="CO66" s="79"/>
      <c r="CP66" s="79"/>
      <c r="CQ66" s="79"/>
      <c r="CR66" s="79"/>
      <c r="CS66" s="79"/>
      <c r="CT66" s="79"/>
      <c r="CU66" s="79"/>
      <c r="CV66" s="79"/>
      <c r="CW66" s="79"/>
      <c r="CX66" s="79"/>
      <c r="CY66" s="79"/>
      <c r="CZ66" s="79"/>
      <c r="DA66" s="79"/>
      <c r="DB66" s="79"/>
      <c r="DC66" s="79"/>
      <c r="DD66" s="79"/>
      <c r="DE66" s="79"/>
      <c r="DF66" s="79"/>
    </row>
    <row r="67" spans="1:110" s="81" customFormat="1" ht="30">
      <c r="A67" s="12" t="s">
        <v>142</v>
      </c>
      <c r="B67" s="31" t="s">
        <v>97</v>
      </c>
      <c r="C67" s="96" t="s">
        <v>97</v>
      </c>
      <c r="D67" s="12" t="s">
        <v>197</v>
      </c>
      <c r="E67" s="12" t="s">
        <v>144</v>
      </c>
      <c r="F67" s="12" t="s">
        <v>100</v>
      </c>
      <c r="G67" s="97" t="s">
        <v>6</v>
      </c>
      <c r="H67" s="12" t="s">
        <v>101</v>
      </c>
      <c r="I67" s="12" t="s">
        <v>112</v>
      </c>
      <c r="J67" s="12" t="s">
        <v>107</v>
      </c>
      <c r="K67" s="12" t="s">
        <v>198</v>
      </c>
      <c r="L67" s="12" t="s">
        <v>199</v>
      </c>
      <c r="M67" s="12"/>
      <c r="N67" s="12" t="s">
        <v>105</v>
      </c>
      <c r="O67" s="12"/>
      <c r="P67" s="12"/>
      <c r="Q67" s="12"/>
      <c r="R67" s="12"/>
      <c r="S67" s="12" t="s">
        <v>105</v>
      </c>
      <c r="T67" s="12" t="s">
        <v>200</v>
      </c>
      <c r="U67" s="12"/>
      <c r="V67" s="12"/>
      <c r="W67" s="12"/>
      <c r="X67" s="12"/>
      <c r="Y67" s="12"/>
      <c r="Z67" s="12" t="s">
        <v>105</v>
      </c>
      <c r="AA67" s="12"/>
      <c r="AB67" s="12"/>
      <c r="AC67" s="12" t="s">
        <v>105</v>
      </c>
      <c r="AD67" s="12"/>
      <c r="AE67" s="12"/>
      <c r="AF67" s="12"/>
      <c r="AG67" s="12"/>
      <c r="AH67" s="65"/>
      <c r="AI67" s="98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79"/>
      <c r="BD67" s="79"/>
      <c r="BE67" s="79"/>
      <c r="BF67" s="79"/>
      <c r="BG67" s="79"/>
      <c r="BH67" s="79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  <c r="BV67" s="79"/>
      <c r="BW67" s="79"/>
      <c r="BX67" s="79"/>
      <c r="BY67" s="79"/>
      <c r="BZ67" s="79"/>
      <c r="CA67" s="79"/>
      <c r="CB67" s="79"/>
      <c r="CC67" s="79"/>
      <c r="CD67" s="79"/>
      <c r="CE67" s="79"/>
      <c r="CF67" s="79"/>
      <c r="CG67" s="79"/>
      <c r="CH67" s="79"/>
      <c r="CI67" s="79"/>
      <c r="CJ67" s="79"/>
      <c r="CK67" s="79"/>
      <c r="CL67" s="79"/>
      <c r="CM67" s="79"/>
      <c r="CN67" s="79"/>
      <c r="CO67" s="79"/>
      <c r="CP67" s="79"/>
      <c r="CQ67" s="79"/>
      <c r="CR67" s="79"/>
      <c r="CS67" s="79"/>
      <c r="CT67" s="79"/>
      <c r="CU67" s="79"/>
      <c r="CV67" s="79"/>
      <c r="CW67" s="79"/>
      <c r="CX67" s="79"/>
      <c r="CY67" s="79"/>
      <c r="CZ67" s="79"/>
      <c r="DA67" s="79"/>
      <c r="DB67" s="79"/>
      <c r="DC67" s="79"/>
      <c r="DD67" s="79"/>
      <c r="DE67" s="79"/>
      <c r="DF67" s="79"/>
    </row>
    <row r="68" spans="1:110" s="81" customFormat="1">
      <c r="A68" s="12"/>
      <c r="B68" s="31" t="s">
        <v>97</v>
      </c>
      <c r="C68" s="96" t="s">
        <v>97</v>
      </c>
      <c r="D68" s="12" t="s">
        <v>201</v>
      </c>
      <c r="E68" s="12"/>
      <c r="F68" s="12" t="s">
        <v>202</v>
      </c>
      <c r="G68" s="97" t="s">
        <v>6</v>
      </c>
      <c r="H68" s="65" t="s">
        <v>145</v>
      </c>
      <c r="I68" s="12" t="s">
        <v>119</v>
      </c>
      <c r="J68" s="12" t="s">
        <v>107</v>
      </c>
      <c r="K68" s="65"/>
      <c r="L68" s="12"/>
      <c r="M68" s="12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98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79"/>
      <c r="BP68" s="79"/>
      <c r="BQ68" s="79"/>
      <c r="BR68" s="79"/>
      <c r="BS68" s="79"/>
      <c r="BT68" s="79"/>
      <c r="BU68" s="79"/>
      <c r="BV68" s="79"/>
      <c r="BW68" s="79"/>
      <c r="BX68" s="79"/>
      <c r="BY68" s="79"/>
      <c r="BZ68" s="79"/>
      <c r="CA68" s="79"/>
      <c r="CB68" s="79"/>
      <c r="CC68" s="79"/>
      <c r="CD68" s="79"/>
      <c r="CE68" s="79"/>
      <c r="CF68" s="79"/>
      <c r="CG68" s="79"/>
      <c r="CH68" s="79"/>
      <c r="CI68" s="79"/>
      <c r="CJ68" s="79"/>
      <c r="CK68" s="79"/>
      <c r="CL68" s="79"/>
      <c r="CM68" s="79"/>
      <c r="CN68" s="79"/>
      <c r="CO68" s="79"/>
      <c r="CP68" s="79"/>
      <c r="CQ68" s="79"/>
      <c r="CR68" s="79"/>
      <c r="CS68" s="79"/>
      <c r="CT68" s="79"/>
      <c r="CU68" s="79"/>
      <c r="CV68" s="79"/>
      <c r="CW68" s="79"/>
      <c r="CX68" s="79"/>
      <c r="CY68" s="79"/>
      <c r="CZ68" s="79"/>
      <c r="DA68" s="79"/>
      <c r="DB68" s="79"/>
      <c r="DC68" s="79"/>
      <c r="DD68" s="79"/>
      <c r="DE68" s="79"/>
      <c r="DF68" s="79"/>
    </row>
    <row r="69" spans="1:110" s="81" customFormat="1" ht="30">
      <c r="A69" s="12" t="s">
        <v>142</v>
      </c>
      <c r="B69" s="31" t="s">
        <v>96</v>
      </c>
      <c r="C69" s="96" t="s">
        <v>97</v>
      </c>
      <c r="D69" s="12" t="s">
        <v>203</v>
      </c>
      <c r="E69" s="12" t="s">
        <v>204</v>
      </c>
      <c r="F69" s="12" t="s">
        <v>100</v>
      </c>
      <c r="G69" s="97" t="s">
        <v>6</v>
      </c>
      <c r="H69" s="12" t="s">
        <v>101</v>
      </c>
      <c r="I69" s="12" t="s">
        <v>119</v>
      </c>
      <c r="J69" s="12" t="s">
        <v>107</v>
      </c>
      <c r="K69" s="12"/>
      <c r="L69" s="12" t="s">
        <v>104</v>
      </c>
      <c r="M69" s="12"/>
      <c r="N69" s="12"/>
      <c r="O69" s="12"/>
      <c r="P69" s="12"/>
      <c r="Q69" s="12"/>
      <c r="R69" s="12"/>
      <c r="S69" s="12" t="s">
        <v>105</v>
      </c>
      <c r="T69" s="12" t="s">
        <v>105</v>
      </c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65"/>
      <c r="AI69" s="98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79"/>
      <c r="BS69" s="79"/>
      <c r="BT69" s="79"/>
      <c r="BU69" s="79"/>
      <c r="BV69" s="79"/>
      <c r="BW69" s="79"/>
      <c r="BX69" s="79"/>
      <c r="BY69" s="79"/>
      <c r="BZ69" s="79"/>
      <c r="CA69" s="79"/>
      <c r="CB69" s="79"/>
      <c r="CC69" s="79"/>
      <c r="CD69" s="79"/>
      <c r="CE69" s="79"/>
      <c r="CF69" s="79"/>
      <c r="CG69" s="79"/>
      <c r="CH69" s="79"/>
      <c r="CI69" s="79"/>
      <c r="CJ69" s="79"/>
      <c r="CK69" s="79"/>
      <c r="CL69" s="79"/>
      <c r="CM69" s="79"/>
      <c r="CN69" s="79"/>
      <c r="CO69" s="79"/>
      <c r="CP69" s="79"/>
      <c r="CQ69" s="79"/>
      <c r="CR69" s="79"/>
      <c r="CS69" s="79"/>
      <c r="CT69" s="79"/>
      <c r="CU69" s="79"/>
      <c r="CV69" s="79"/>
      <c r="CW69" s="79"/>
      <c r="CX69" s="79"/>
      <c r="CY69" s="79"/>
      <c r="CZ69" s="79"/>
      <c r="DA69" s="79"/>
      <c r="DB69" s="79"/>
      <c r="DC69" s="79"/>
      <c r="DD69" s="79"/>
      <c r="DE69" s="79"/>
      <c r="DF69" s="79"/>
    </row>
    <row r="70" spans="1:110" s="81" customFormat="1" ht="30">
      <c r="A70" s="12"/>
      <c r="B70" s="31" t="s">
        <v>97</v>
      </c>
      <c r="C70" s="96" t="s">
        <v>96</v>
      </c>
      <c r="D70" s="12" t="s">
        <v>205</v>
      </c>
      <c r="E70" s="12" t="s">
        <v>204</v>
      </c>
      <c r="F70" s="12" t="s">
        <v>100</v>
      </c>
      <c r="G70" s="97" t="s">
        <v>6</v>
      </c>
      <c r="H70" s="12" t="s">
        <v>145</v>
      </c>
      <c r="I70" s="12" t="s">
        <v>119</v>
      </c>
      <c r="J70" s="12" t="s">
        <v>107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65"/>
      <c r="AI70" s="98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79"/>
      <c r="BR70" s="79"/>
      <c r="BS70" s="79"/>
      <c r="BT70" s="79"/>
      <c r="BU70" s="79"/>
      <c r="BV70" s="79"/>
      <c r="BW70" s="79"/>
      <c r="BX70" s="79"/>
      <c r="BY70" s="79"/>
      <c r="BZ70" s="79"/>
      <c r="CA70" s="79"/>
      <c r="CB70" s="79"/>
      <c r="CC70" s="79"/>
      <c r="CD70" s="79"/>
      <c r="CE70" s="79"/>
      <c r="CF70" s="79"/>
      <c r="CG70" s="79"/>
      <c r="CH70" s="79"/>
      <c r="CI70" s="79"/>
      <c r="CJ70" s="79"/>
      <c r="CK70" s="79"/>
      <c r="CL70" s="79"/>
      <c r="CM70" s="79"/>
      <c r="CN70" s="79"/>
      <c r="CO70" s="79"/>
      <c r="CP70" s="79"/>
      <c r="CQ70" s="79"/>
      <c r="CR70" s="79"/>
      <c r="CS70" s="79"/>
      <c r="CT70" s="79"/>
      <c r="CU70" s="79"/>
      <c r="CV70" s="79"/>
      <c r="CW70" s="79"/>
      <c r="CX70" s="79"/>
      <c r="CY70" s="79"/>
      <c r="CZ70" s="79"/>
      <c r="DA70" s="79"/>
      <c r="DB70" s="79"/>
      <c r="DC70" s="79"/>
      <c r="DD70" s="79"/>
      <c r="DE70" s="79"/>
      <c r="DF70" s="79"/>
    </row>
    <row r="71" spans="1:110" s="81" customFormat="1" ht="30">
      <c r="A71" s="12" t="s">
        <v>108</v>
      </c>
      <c r="B71" s="31" t="s">
        <v>97</v>
      </c>
      <c r="C71" s="96" t="s">
        <v>97</v>
      </c>
      <c r="D71" s="12" t="s">
        <v>206</v>
      </c>
      <c r="E71" s="12" t="s">
        <v>196</v>
      </c>
      <c r="F71" s="12" t="s">
        <v>100</v>
      </c>
      <c r="G71" s="97" t="s">
        <v>6</v>
      </c>
      <c r="H71" s="12" t="s">
        <v>101</v>
      </c>
      <c r="I71" s="12" t="s">
        <v>112</v>
      </c>
      <c r="J71" s="12" t="s">
        <v>107</v>
      </c>
      <c r="K71" s="12"/>
      <c r="L71" s="12"/>
      <c r="M71" s="12"/>
      <c r="N71" s="12"/>
      <c r="O71" s="12"/>
      <c r="P71" s="12"/>
      <c r="Q71" s="12"/>
      <c r="R71" s="12"/>
      <c r="S71" s="12" t="s">
        <v>105</v>
      </c>
      <c r="T71" s="12" t="s">
        <v>105</v>
      </c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65"/>
      <c r="AI71" s="98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79"/>
      <c r="BG71" s="79"/>
      <c r="BH71" s="79"/>
      <c r="BI71" s="79"/>
      <c r="BJ71" s="79"/>
      <c r="BK71" s="79"/>
      <c r="BL71" s="79"/>
      <c r="BM71" s="79"/>
      <c r="BN71" s="79"/>
      <c r="BO71" s="79"/>
      <c r="BP71" s="79"/>
      <c r="BQ71" s="79"/>
      <c r="BR71" s="79"/>
      <c r="BS71" s="79"/>
      <c r="BT71" s="79"/>
      <c r="BU71" s="79"/>
      <c r="BV71" s="79"/>
      <c r="BW71" s="79"/>
      <c r="BX71" s="79"/>
      <c r="BY71" s="79"/>
      <c r="BZ71" s="79"/>
      <c r="CA71" s="79"/>
      <c r="CB71" s="79"/>
      <c r="CC71" s="79"/>
      <c r="CD71" s="79"/>
      <c r="CE71" s="79"/>
      <c r="CF71" s="79"/>
      <c r="CG71" s="79"/>
      <c r="CH71" s="79"/>
      <c r="CI71" s="79"/>
      <c r="CJ71" s="79"/>
      <c r="CK71" s="79"/>
      <c r="CL71" s="79"/>
      <c r="CM71" s="79"/>
      <c r="CN71" s="79"/>
      <c r="CO71" s="79"/>
      <c r="CP71" s="79"/>
      <c r="CQ71" s="79"/>
      <c r="CR71" s="79"/>
      <c r="CS71" s="79"/>
      <c r="CT71" s="79"/>
      <c r="CU71" s="79"/>
      <c r="CV71" s="79"/>
      <c r="CW71" s="79"/>
      <c r="CX71" s="79"/>
      <c r="CY71" s="79"/>
      <c r="CZ71" s="79"/>
      <c r="DA71" s="79"/>
      <c r="DB71" s="79"/>
      <c r="DC71" s="79"/>
      <c r="DD71" s="79"/>
      <c r="DE71" s="79"/>
      <c r="DF71" s="79"/>
    </row>
    <row r="72" spans="1:110" s="83" customFormat="1" ht="30">
      <c r="A72" s="12" t="s">
        <v>108</v>
      </c>
      <c r="B72" s="31" t="s">
        <v>97</v>
      </c>
      <c r="C72" s="96" t="s">
        <v>97</v>
      </c>
      <c r="D72" s="12" t="s">
        <v>207</v>
      </c>
      <c r="E72" s="12" t="s">
        <v>196</v>
      </c>
      <c r="F72" s="12" t="s">
        <v>100</v>
      </c>
      <c r="G72" s="97" t="s">
        <v>6</v>
      </c>
      <c r="H72" s="12" t="s">
        <v>101</v>
      </c>
      <c r="I72" s="12" t="s">
        <v>112</v>
      </c>
      <c r="J72" s="12" t="s">
        <v>107</v>
      </c>
      <c r="K72" s="12"/>
      <c r="L72" s="12"/>
      <c r="M72" s="12"/>
      <c r="N72" s="12"/>
      <c r="O72" s="12"/>
      <c r="P72" s="12"/>
      <c r="Q72" s="12"/>
      <c r="R72" s="12"/>
      <c r="S72" s="12" t="s">
        <v>105</v>
      </c>
      <c r="T72" s="12" t="s">
        <v>105</v>
      </c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65"/>
      <c r="AI72" s="98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  <c r="BM72" s="79"/>
      <c r="BN72" s="79"/>
      <c r="BO72" s="79"/>
      <c r="BP72" s="79"/>
      <c r="BQ72" s="79"/>
      <c r="BR72" s="79"/>
      <c r="BS72" s="79"/>
      <c r="BT72" s="79"/>
      <c r="BU72" s="79"/>
      <c r="BV72" s="79"/>
      <c r="BW72" s="79"/>
      <c r="BX72" s="79"/>
      <c r="BY72" s="79"/>
      <c r="BZ72" s="79"/>
      <c r="CA72" s="79"/>
      <c r="CB72" s="79"/>
      <c r="CC72" s="79"/>
      <c r="CD72" s="79"/>
      <c r="CE72" s="79"/>
      <c r="CF72" s="79"/>
      <c r="CG72" s="79"/>
      <c r="CH72" s="79"/>
      <c r="CI72" s="79"/>
      <c r="CJ72" s="79"/>
      <c r="CK72" s="79"/>
      <c r="CL72" s="79"/>
      <c r="CM72" s="79"/>
      <c r="CN72" s="79"/>
      <c r="CO72" s="79"/>
      <c r="CP72" s="79"/>
      <c r="CQ72" s="79"/>
      <c r="CR72" s="79"/>
      <c r="CS72" s="79"/>
      <c r="CT72" s="79"/>
      <c r="CU72" s="79"/>
      <c r="CV72" s="79"/>
      <c r="CW72" s="79"/>
      <c r="CX72" s="79"/>
      <c r="CY72" s="79"/>
      <c r="CZ72" s="79"/>
      <c r="DA72" s="79"/>
      <c r="DB72" s="79"/>
      <c r="DC72" s="79"/>
      <c r="DD72" s="79"/>
      <c r="DE72" s="79"/>
      <c r="DF72" s="79"/>
    </row>
    <row r="73" spans="1:110" s="85" customFormat="1">
      <c r="A73" s="12" t="s">
        <v>142</v>
      </c>
      <c r="B73" s="31" t="s">
        <v>97</v>
      </c>
      <c r="C73" s="96" t="s">
        <v>97</v>
      </c>
      <c r="D73" s="12" t="s">
        <v>208</v>
      </c>
      <c r="E73" s="12" t="s">
        <v>144</v>
      </c>
      <c r="F73" s="12" t="s">
        <v>100</v>
      </c>
      <c r="G73" s="97" t="s">
        <v>6</v>
      </c>
      <c r="H73" s="12" t="s">
        <v>101</v>
      </c>
      <c r="I73" s="12" t="s">
        <v>119</v>
      </c>
      <c r="J73" s="12" t="s">
        <v>107</v>
      </c>
      <c r="K73" s="12"/>
      <c r="L73" s="12" t="s">
        <v>209</v>
      </c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65"/>
      <c r="AI73" s="99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</row>
    <row r="74" spans="1:110" s="81" customFormat="1">
      <c r="A74" s="12" t="s">
        <v>142</v>
      </c>
      <c r="B74" s="31" t="s">
        <v>97</v>
      </c>
      <c r="C74" s="96" t="s">
        <v>97</v>
      </c>
      <c r="D74" s="12" t="s">
        <v>210</v>
      </c>
      <c r="E74" s="12" t="s">
        <v>211</v>
      </c>
      <c r="F74" s="12" t="s">
        <v>100</v>
      </c>
      <c r="G74" s="97" t="s">
        <v>6</v>
      </c>
      <c r="H74" s="12" t="s">
        <v>101</v>
      </c>
      <c r="I74" s="12" t="s">
        <v>119</v>
      </c>
      <c r="J74" s="12" t="s">
        <v>107</v>
      </c>
      <c r="K74" s="12"/>
      <c r="L74" s="12"/>
      <c r="M74" s="12"/>
      <c r="N74" s="12"/>
      <c r="O74" s="12"/>
      <c r="P74" s="12"/>
      <c r="Q74" s="12"/>
      <c r="R74" s="12"/>
      <c r="S74" s="12" t="s">
        <v>105</v>
      </c>
      <c r="T74" s="12" t="s">
        <v>105</v>
      </c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65"/>
      <c r="AI74" s="98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Q74" s="79"/>
      <c r="BR74" s="79"/>
      <c r="BS74" s="79"/>
      <c r="BT74" s="79"/>
      <c r="BU74" s="79"/>
      <c r="BV74" s="79"/>
      <c r="BW74" s="79"/>
      <c r="BX74" s="79"/>
      <c r="BY74" s="79"/>
      <c r="BZ74" s="79"/>
      <c r="CA74" s="79"/>
      <c r="CB74" s="79"/>
      <c r="CC74" s="79"/>
      <c r="CD74" s="79"/>
      <c r="CE74" s="79"/>
      <c r="CF74" s="79"/>
      <c r="CG74" s="79"/>
      <c r="CH74" s="79"/>
      <c r="CI74" s="79"/>
      <c r="CJ74" s="79"/>
      <c r="CK74" s="79"/>
      <c r="CL74" s="79"/>
      <c r="CM74" s="79"/>
      <c r="CN74" s="79"/>
      <c r="CO74" s="79"/>
      <c r="CP74" s="79"/>
      <c r="CQ74" s="79"/>
      <c r="CR74" s="79"/>
      <c r="CS74" s="79"/>
      <c r="CT74" s="79"/>
      <c r="CU74" s="79"/>
      <c r="CV74" s="79"/>
      <c r="CW74" s="79"/>
      <c r="CX74" s="79"/>
      <c r="CY74" s="79"/>
      <c r="CZ74" s="79"/>
      <c r="DA74" s="79"/>
      <c r="DB74" s="79"/>
      <c r="DC74" s="79"/>
      <c r="DD74" s="79"/>
      <c r="DE74" s="79"/>
      <c r="DF74" s="79"/>
    </row>
    <row r="75" spans="1:110" s="81" customFormat="1">
      <c r="A75" s="12" t="s">
        <v>142</v>
      </c>
      <c r="B75" s="31" t="s">
        <v>97</v>
      </c>
      <c r="C75" s="96" t="s">
        <v>97</v>
      </c>
      <c r="D75" s="12" t="s">
        <v>212</v>
      </c>
      <c r="E75" s="12" t="s">
        <v>211</v>
      </c>
      <c r="F75" s="12" t="s">
        <v>100</v>
      </c>
      <c r="G75" s="97" t="s">
        <v>6</v>
      </c>
      <c r="H75" s="12" t="s">
        <v>101</v>
      </c>
      <c r="I75" s="12" t="s">
        <v>119</v>
      </c>
      <c r="J75" s="12" t="s">
        <v>107</v>
      </c>
      <c r="K75" s="12"/>
      <c r="L75" s="12" t="s">
        <v>103</v>
      </c>
      <c r="M75" s="12"/>
      <c r="N75" s="12"/>
      <c r="O75" s="12"/>
      <c r="P75" s="12"/>
      <c r="Q75" s="12"/>
      <c r="R75" s="12"/>
      <c r="S75" s="12" t="s">
        <v>122</v>
      </c>
      <c r="T75" s="12" t="s">
        <v>122</v>
      </c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65"/>
      <c r="AI75" s="98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Q75" s="79"/>
      <c r="BR75" s="79"/>
      <c r="BS75" s="79"/>
      <c r="BT75" s="79"/>
      <c r="BU75" s="79"/>
      <c r="BV75" s="79"/>
      <c r="BW75" s="79"/>
      <c r="BX75" s="79"/>
      <c r="BY75" s="79"/>
      <c r="BZ75" s="79"/>
      <c r="CA75" s="79"/>
      <c r="CB75" s="79"/>
      <c r="CC75" s="79"/>
      <c r="CD75" s="79"/>
      <c r="CE75" s="79"/>
      <c r="CF75" s="79"/>
      <c r="CG75" s="79"/>
      <c r="CH75" s="79"/>
      <c r="CI75" s="79"/>
      <c r="CJ75" s="79"/>
      <c r="CK75" s="79"/>
      <c r="CL75" s="79"/>
      <c r="CM75" s="79"/>
      <c r="CN75" s="79"/>
      <c r="CO75" s="79"/>
      <c r="CP75" s="79"/>
      <c r="CQ75" s="79"/>
      <c r="CR75" s="79"/>
      <c r="CS75" s="79"/>
      <c r="CT75" s="79"/>
      <c r="CU75" s="79"/>
      <c r="CV75" s="79"/>
      <c r="CW75" s="79"/>
      <c r="CX75" s="79"/>
      <c r="CY75" s="79"/>
      <c r="CZ75" s="79"/>
      <c r="DA75" s="79"/>
      <c r="DB75" s="79"/>
      <c r="DC75" s="79"/>
      <c r="DD75" s="79"/>
      <c r="DE75" s="79"/>
      <c r="DF75" s="79"/>
    </row>
    <row r="76" spans="1:110" s="81" customFormat="1">
      <c r="A76" s="12" t="s">
        <v>142</v>
      </c>
      <c r="B76" s="31" t="s">
        <v>97</v>
      </c>
      <c r="C76" s="96" t="s">
        <v>97</v>
      </c>
      <c r="D76" s="12" t="s">
        <v>213</v>
      </c>
      <c r="E76" s="12" t="s">
        <v>211</v>
      </c>
      <c r="F76" s="12" t="s">
        <v>100</v>
      </c>
      <c r="G76" s="97" t="s">
        <v>6</v>
      </c>
      <c r="H76" s="12" t="s">
        <v>101</v>
      </c>
      <c r="I76" s="12" t="s">
        <v>119</v>
      </c>
      <c r="J76" s="12" t="s">
        <v>107</v>
      </c>
      <c r="K76" s="12"/>
      <c r="L76" s="12"/>
      <c r="M76" s="12"/>
      <c r="N76" s="12"/>
      <c r="O76" s="12"/>
      <c r="P76" s="12"/>
      <c r="Q76" s="12"/>
      <c r="R76" s="12"/>
      <c r="S76" s="12" t="s">
        <v>105</v>
      </c>
      <c r="T76" s="12" t="s">
        <v>105</v>
      </c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65"/>
      <c r="AI76" s="98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79"/>
      <c r="CG76" s="79"/>
      <c r="CH76" s="79"/>
      <c r="CI76" s="79"/>
      <c r="CJ76" s="79"/>
      <c r="CK76" s="79"/>
      <c r="CL76" s="79"/>
      <c r="CM76" s="79"/>
      <c r="CN76" s="79"/>
      <c r="CO76" s="79"/>
      <c r="CP76" s="79"/>
      <c r="CQ76" s="79"/>
      <c r="CR76" s="79"/>
      <c r="CS76" s="79"/>
      <c r="CT76" s="79"/>
      <c r="CU76" s="79"/>
      <c r="CV76" s="79"/>
      <c r="CW76" s="79"/>
      <c r="CX76" s="79"/>
      <c r="CY76" s="79"/>
      <c r="CZ76" s="79"/>
      <c r="DA76" s="79"/>
      <c r="DB76" s="79"/>
      <c r="DC76" s="79"/>
      <c r="DD76" s="79"/>
      <c r="DE76" s="79"/>
      <c r="DF76" s="79"/>
    </row>
    <row r="77" spans="1:110" s="81" customFormat="1">
      <c r="A77" s="12" t="s">
        <v>142</v>
      </c>
      <c r="B77" s="31" t="s">
        <v>97</v>
      </c>
      <c r="C77" s="96" t="s">
        <v>97</v>
      </c>
      <c r="D77" s="12" t="s">
        <v>214</v>
      </c>
      <c r="E77" s="12" t="s">
        <v>211</v>
      </c>
      <c r="F77" s="12" t="s">
        <v>100</v>
      </c>
      <c r="G77" s="97" t="s">
        <v>6</v>
      </c>
      <c r="H77" s="12" t="s">
        <v>101</v>
      </c>
      <c r="I77" s="12" t="s">
        <v>119</v>
      </c>
      <c r="J77" s="12" t="s">
        <v>107</v>
      </c>
      <c r="K77" s="12"/>
      <c r="L77" s="12"/>
      <c r="M77" s="12"/>
      <c r="N77" s="12"/>
      <c r="O77" s="12"/>
      <c r="P77" s="12"/>
      <c r="Q77" s="12"/>
      <c r="R77" s="12"/>
      <c r="S77" s="12" t="s">
        <v>105</v>
      </c>
      <c r="T77" s="12" t="s">
        <v>105</v>
      </c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65"/>
      <c r="AI77" s="98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79"/>
      <c r="CG77" s="79"/>
      <c r="CH77" s="79"/>
      <c r="CI77" s="79"/>
      <c r="CJ77" s="79"/>
      <c r="CK77" s="79"/>
      <c r="CL77" s="79"/>
      <c r="CM77" s="79"/>
      <c r="CN77" s="79"/>
      <c r="CO77" s="79"/>
      <c r="CP77" s="79"/>
      <c r="CQ77" s="79"/>
      <c r="CR77" s="79"/>
      <c r="CS77" s="79"/>
      <c r="CT77" s="79"/>
      <c r="CU77" s="79"/>
      <c r="CV77" s="79"/>
      <c r="CW77" s="79"/>
      <c r="CX77" s="79"/>
      <c r="CY77" s="79"/>
      <c r="CZ77" s="79"/>
      <c r="DA77" s="79"/>
      <c r="DB77" s="79"/>
      <c r="DC77" s="79"/>
      <c r="DD77" s="79"/>
      <c r="DE77" s="79"/>
      <c r="DF77" s="79"/>
    </row>
    <row r="78" spans="1:110" s="81" customFormat="1">
      <c r="A78" s="12" t="s">
        <v>142</v>
      </c>
      <c r="B78" s="31" t="s">
        <v>96</v>
      </c>
      <c r="C78" s="96" t="s">
        <v>96</v>
      </c>
      <c r="D78" s="12" t="s">
        <v>215</v>
      </c>
      <c r="E78" s="12" t="s">
        <v>211</v>
      </c>
      <c r="F78" s="12" t="s">
        <v>100</v>
      </c>
      <c r="G78" s="97" t="s">
        <v>6</v>
      </c>
      <c r="H78" s="12" t="s">
        <v>101</v>
      </c>
      <c r="I78" s="12" t="s">
        <v>119</v>
      </c>
      <c r="J78" s="12" t="s">
        <v>107</v>
      </c>
      <c r="K78" s="12"/>
      <c r="L78" s="12"/>
      <c r="M78" s="12"/>
      <c r="N78" s="12"/>
      <c r="O78" s="12"/>
      <c r="P78" s="12"/>
      <c r="Q78" s="12"/>
      <c r="R78" s="12"/>
      <c r="S78" s="12" t="s">
        <v>105</v>
      </c>
      <c r="T78" s="12" t="s">
        <v>105</v>
      </c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65"/>
      <c r="AI78" s="98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Q78" s="79"/>
      <c r="BR78" s="79"/>
      <c r="BS78" s="79"/>
      <c r="BT78" s="79"/>
      <c r="BU78" s="79"/>
      <c r="BV78" s="79"/>
      <c r="BW78" s="79"/>
      <c r="BX78" s="79"/>
      <c r="BY78" s="79"/>
      <c r="BZ78" s="79"/>
      <c r="CA78" s="79"/>
      <c r="CB78" s="79"/>
      <c r="CC78" s="79"/>
      <c r="CD78" s="79"/>
      <c r="CE78" s="79"/>
      <c r="CF78" s="79"/>
      <c r="CG78" s="79"/>
      <c r="CH78" s="79"/>
      <c r="CI78" s="79"/>
      <c r="CJ78" s="79"/>
      <c r="CK78" s="79"/>
      <c r="CL78" s="79"/>
      <c r="CM78" s="79"/>
      <c r="CN78" s="79"/>
      <c r="CO78" s="79"/>
      <c r="CP78" s="79"/>
      <c r="CQ78" s="79"/>
      <c r="CR78" s="79"/>
      <c r="CS78" s="79"/>
      <c r="CT78" s="79"/>
      <c r="CU78" s="79"/>
      <c r="CV78" s="79"/>
      <c r="CW78" s="79"/>
      <c r="CX78" s="79"/>
      <c r="CY78" s="79"/>
      <c r="CZ78" s="79"/>
      <c r="DA78" s="79"/>
      <c r="DB78" s="79"/>
      <c r="DC78" s="79"/>
      <c r="DD78" s="79"/>
      <c r="DE78" s="79"/>
      <c r="DF78" s="79"/>
    </row>
    <row r="79" spans="1:110" s="81" customFormat="1">
      <c r="A79" s="12" t="s">
        <v>142</v>
      </c>
      <c r="B79" s="31" t="s">
        <v>97</v>
      </c>
      <c r="C79" s="96" t="s">
        <v>97</v>
      </c>
      <c r="D79" s="12" t="s">
        <v>216</v>
      </c>
      <c r="E79" s="12" t="s">
        <v>211</v>
      </c>
      <c r="F79" s="12" t="s">
        <v>100</v>
      </c>
      <c r="G79" s="97" t="s">
        <v>6</v>
      </c>
      <c r="H79" s="12" t="s">
        <v>101</v>
      </c>
      <c r="I79" s="12" t="s">
        <v>119</v>
      </c>
      <c r="J79" s="12" t="s">
        <v>107</v>
      </c>
      <c r="K79" s="12"/>
      <c r="L79" s="12"/>
      <c r="M79" s="12"/>
      <c r="N79" s="12"/>
      <c r="O79" s="12"/>
      <c r="P79" s="12"/>
      <c r="Q79" s="12"/>
      <c r="R79" s="12"/>
      <c r="S79" s="12" t="s">
        <v>105</v>
      </c>
      <c r="T79" s="12" t="s">
        <v>105</v>
      </c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65"/>
      <c r="AI79" s="98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Q79" s="79"/>
      <c r="BR79" s="79"/>
      <c r="BS79" s="79"/>
      <c r="BT79" s="79"/>
      <c r="BU79" s="79"/>
      <c r="BV79" s="79"/>
      <c r="BW79" s="79"/>
      <c r="BX79" s="79"/>
      <c r="BY79" s="79"/>
      <c r="BZ79" s="79"/>
      <c r="CA79" s="79"/>
      <c r="CB79" s="79"/>
      <c r="CC79" s="79"/>
      <c r="CD79" s="79"/>
      <c r="CE79" s="79"/>
      <c r="CF79" s="79"/>
      <c r="CG79" s="79"/>
      <c r="CH79" s="79"/>
      <c r="CI79" s="79"/>
      <c r="CJ79" s="79"/>
      <c r="CK79" s="79"/>
      <c r="CL79" s="79"/>
      <c r="CM79" s="79"/>
      <c r="CN79" s="79"/>
      <c r="CO79" s="79"/>
      <c r="CP79" s="79"/>
      <c r="CQ79" s="79"/>
      <c r="CR79" s="79"/>
      <c r="CS79" s="79"/>
      <c r="CT79" s="79"/>
      <c r="CU79" s="79"/>
      <c r="CV79" s="79"/>
      <c r="CW79" s="79"/>
      <c r="CX79" s="79"/>
      <c r="CY79" s="79"/>
      <c r="CZ79" s="79"/>
      <c r="DA79" s="79"/>
      <c r="DB79" s="79"/>
      <c r="DC79" s="79"/>
      <c r="DD79" s="79"/>
      <c r="DE79" s="79"/>
      <c r="DF79" s="79"/>
    </row>
    <row r="80" spans="1:110" s="81" customFormat="1" ht="45">
      <c r="A80" s="12"/>
      <c r="B80" s="31" t="s">
        <v>97</v>
      </c>
      <c r="C80" s="96" t="s">
        <v>96</v>
      </c>
      <c r="D80" s="12" t="s">
        <v>217</v>
      </c>
      <c r="E80" s="12" t="s">
        <v>218</v>
      </c>
      <c r="F80" s="12" t="s">
        <v>202</v>
      </c>
      <c r="G80" s="97" t="s">
        <v>6</v>
      </c>
      <c r="H80" s="12" t="s">
        <v>101</v>
      </c>
      <c r="I80" s="12" t="s">
        <v>119</v>
      </c>
      <c r="J80" s="12" t="s">
        <v>107</v>
      </c>
      <c r="K80" s="12"/>
      <c r="L80" s="12"/>
      <c r="M80" s="12"/>
      <c r="N80" s="12"/>
      <c r="O80" s="12"/>
      <c r="P80" s="12"/>
      <c r="Q80" s="12"/>
      <c r="R80" s="12"/>
      <c r="S80" s="12" t="s">
        <v>122</v>
      </c>
      <c r="T80" s="12" t="s">
        <v>105</v>
      </c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 t="s">
        <v>105</v>
      </c>
      <c r="AH80" s="65"/>
      <c r="AI80" s="98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  <c r="BO80" s="79"/>
      <c r="BP80" s="79"/>
      <c r="BQ80" s="79"/>
      <c r="BR80" s="79"/>
      <c r="BS80" s="79"/>
      <c r="BT80" s="79"/>
      <c r="BU80" s="79"/>
      <c r="BV80" s="79"/>
      <c r="BW80" s="79"/>
      <c r="BX80" s="79"/>
      <c r="BY80" s="79"/>
      <c r="BZ80" s="79"/>
      <c r="CA80" s="79"/>
      <c r="CB80" s="79"/>
      <c r="CC80" s="79"/>
      <c r="CD80" s="79"/>
      <c r="CE80" s="79"/>
      <c r="CF80" s="79"/>
      <c r="CG80" s="79"/>
      <c r="CH80" s="79"/>
      <c r="CI80" s="79"/>
      <c r="CJ80" s="79"/>
      <c r="CK80" s="79"/>
      <c r="CL80" s="79"/>
      <c r="CM80" s="79"/>
      <c r="CN80" s="79"/>
      <c r="CO80" s="79"/>
      <c r="CP80" s="79"/>
      <c r="CQ80" s="79"/>
      <c r="CR80" s="79"/>
      <c r="CS80" s="79"/>
      <c r="CT80" s="79"/>
      <c r="CU80" s="79"/>
      <c r="CV80" s="79"/>
      <c r="CW80" s="79"/>
      <c r="CX80" s="79"/>
      <c r="CY80" s="79"/>
      <c r="CZ80" s="79"/>
      <c r="DA80" s="79"/>
      <c r="DB80" s="79"/>
      <c r="DC80" s="79"/>
      <c r="DD80" s="79"/>
      <c r="DE80" s="79"/>
      <c r="DF80" s="79"/>
    </row>
    <row r="81" spans="1:110" s="81" customFormat="1">
      <c r="A81" s="12" t="s">
        <v>142</v>
      </c>
      <c r="B81" s="31" t="s">
        <v>96</v>
      </c>
      <c r="C81" s="96" t="s">
        <v>97</v>
      </c>
      <c r="D81" s="12" t="s">
        <v>219</v>
      </c>
      <c r="E81" s="12" t="s">
        <v>211</v>
      </c>
      <c r="F81" s="12" t="s">
        <v>100</v>
      </c>
      <c r="G81" s="97" t="s">
        <v>6</v>
      </c>
      <c r="H81" s="12" t="s">
        <v>101</v>
      </c>
      <c r="I81" s="12" t="s">
        <v>119</v>
      </c>
      <c r="J81" s="12" t="s">
        <v>107</v>
      </c>
      <c r="K81" s="12" t="s">
        <v>220</v>
      </c>
      <c r="L81" s="12"/>
      <c r="M81" s="12"/>
      <c r="N81" s="12"/>
      <c r="O81" s="12"/>
      <c r="P81" s="12"/>
      <c r="Q81" s="12"/>
      <c r="R81" s="12"/>
      <c r="S81" s="12" t="s">
        <v>105</v>
      </c>
      <c r="T81" s="12" t="s">
        <v>105</v>
      </c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65"/>
      <c r="AI81" s="98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  <c r="AZ81" s="79"/>
      <c r="BA81" s="79"/>
      <c r="BB81" s="79"/>
      <c r="BC81" s="79"/>
      <c r="BD81" s="79"/>
      <c r="BE81" s="79"/>
      <c r="BF81" s="79"/>
      <c r="BG81" s="79"/>
      <c r="BH81" s="79"/>
      <c r="BI81" s="79"/>
      <c r="BJ81" s="79"/>
      <c r="BK81" s="79"/>
      <c r="BL81" s="79"/>
      <c r="BM81" s="79"/>
      <c r="BN81" s="79"/>
      <c r="BO81" s="79"/>
      <c r="BP81" s="79"/>
      <c r="BQ81" s="79"/>
      <c r="BR81" s="79"/>
      <c r="BS81" s="79"/>
      <c r="BT81" s="79"/>
      <c r="BU81" s="79"/>
      <c r="BV81" s="79"/>
      <c r="BW81" s="79"/>
      <c r="BX81" s="79"/>
      <c r="BY81" s="79"/>
      <c r="BZ81" s="79"/>
      <c r="CA81" s="79"/>
      <c r="CB81" s="79"/>
      <c r="CC81" s="79"/>
      <c r="CD81" s="79"/>
      <c r="CE81" s="79"/>
      <c r="CF81" s="79"/>
      <c r="CG81" s="79"/>
      <c r="CH81" s="79"/>
      <c r="CI81" s="79"/>
      <c r="CJ81" s="79"/>
      <c r="CK81" s="79"/>
      <c r="CL81" s="79"/>
      <c r="CM81" s="79"/>
      <c r="CN81" s="79"/>
      <c r="CO81" s="79"/>
      <c r="CP81" s="79"/>
      <c r="CQ81" s="79"/>
      <c r="CR81" s="79"/>
      <c r="CS81" s="79"/>
      <c r="CT81" s="79"/>
      <c r="CU81" s="79"/>
      <c r="CV81" s="79"/>
      <c r="CW81" s="79"/>
      <c r="CX81" s="79"/>
      <c r="CY81" s="79"/>
      <c r="CZ81" s="79"/>
      <c r="DA81" s="79"/>
      <c r="DB81" s="79"/>
      <c r="DC81" s="79"/>
      <c r="DD81" s="79"/>
      <c r="DE81" s="79"/>
      <c r="DF81" s="79"/>
    </row>
    <row r="82" spans="1:110" s="81" customFormat="1">
      <c r="A82" s="12" t="s">
        <v>142</v>
      </c>
      <c r="B82" s="31" t="s">
        <v>97</v>
      </c>
      <c r="C82" s="96" t="s">
        <v>97</v>
      </c>
      <c r="D82" s="12" t="s">
        <v>221</v>
      </c>
      <c r="E82" s="12" t="s">
        <v>211</v>
      </c>
      <c r="F82" s="12" t="s">
        <v>100</v>
      </c>
      <c r="G82" s="97" t="s">
        <v>6</v>
      </c>
      <c r="H82" s="12" t="s">
        <v>101</v>
      </c>
      <c r="I82" s="12" t="s">
        <v>119</v>
      </c>
      <c r="J82" s="12" t="s">
        <v>107</v>
      </c>
      <c r="K82" s="12" t="s">
        <v>220</v>
      </c>
      <c r="L82" s="12"/>
      <c r="M82" s="12"/>
      <c r="N82" s="12"/>
      <c r="O82" s="12"/>
      <c r="P82" s="12"/>
      <c r="Q82" s="12"/>
      <c r="R82" s="12"/>
      <c r="S82" s="12" t="s">
        <v>105</v>
      </c>
      <c r="T82" s="12" t="s">
        <v>105</v>
      </c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65"/>
      <c r="AI82" s="98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79"/>
      <c r="AZ82" s="79"/>
      <c r="BA82" s="79"/>
      <c r="BB82" s="79"/>
      <c r="BC82" s="79"/>
      <c r="BD82" s="79"/>
      <c r="BE82" s="79"/>
      <c r="BF82" s="79"/>
      <c r="BG82" s="79"/>
      <c r="BH82" s="79"/>
      <c r="BI82" s="79"/>
      <c r="BJ82" s="79"/>
      <c r="BK82" s="79"/>
      <c r="BL82" s="79"/>
      <c r="BM82" s="79"/>
      <c r="BN82" s="79"/>
      <c r="BO82" s="79"/>
      <c r="BP82" s="79"/>
      <c r="BQ82" s="79"/>
      <c r="BR82" s="79"/>
      <c r="BS82" s="79"/>
      <c r="BT82" s="79"/>
      <c r="BU82" s="79"/>
      <c r="BV82" s="79"/>
      <c r="BW82" s="79"/>
      <c r="BX82" s="79"/>
      <c r="BY82" s="79"/>
      <c r="BZ82" s="79"/>
      <c r="CA82" s="79"/>
      <c r="CB82" s="79"/>
      <c r="CC82" s="79"/>
      <c r="CD82" s="79"/>
      <c r="CE82" s="79"/>
      <c r="CF82" s="79"/>
      <c r="CG82" s="79"/>
      <c r="CH82" s="79"/>
      <c r="CI82" s="79"/>
      <c r="CJ82" s="79"/>
      <c r="CK82" s="79"/>
      <c r="CL82" s="79"/>
      <c r="CM82" s="79"/>
      <c r="CN82" s="79"/>
      <c r="CO82" s="79"/>
      <c r="CP82" s="79"/>
      <c r="CQ82" s="79"/>
      <c r="CR82" s="79"/>
      <c r="CS82" s="79"/>
      <c r="CT82" s="79"/>
      <c r="CU82" s="79"/>
      <c r="CV82" s="79"/>
      <c r="CW82" s="79"/>
      <c r="CX82" s="79"/>
      <c r="CY82" s="79"/>
      <c r="CZ82" s="79"/>
      <c r="DA82" s="79"/>
      <c r="DB82" s="79"/>
      <c r="DC82" s="79"/>
      <c r="DD82" s="79"/>
      <c r="DE82" s="79"/>
      <c r="DF82" s="79"/>
    </row>
    <row r="83" spans="1:110" s="83" customFormat="1">
      <c r="A83" s="12" t="s">
        <v>142</v>
      </c>
      <c r="B83" s="31" t="s">
        <v>96</v>
      </c>
      <c r="C83" s="96" t="s">
        <v>97</v>
      </c>
      <c r="D83" s="12" t="s">
        <v>222</v>
      </c>
      <c r="E83" s="12" t="s">
        <v>211</v>
      </c>
      <c r="F83" s="12" t="s">
        <v>100</v>
      </c>
      <c r="G83" s="97" t="s">
        <v>6</v>
      </c>
      <c r="H83" s="12" t="s">
        <v>101</v>
      </c>
      <c r="I83" s="12" t="s">
        <v>119</v>
      </c>
      <c r="J83" s="12" t="s">
        <v>107</v>
      </c>
      <c r="K83" s="12"/>
      <c r="L83" s="12"/>
      <c r="M83" s="12"/>
      <c r="N83" s="12"/>
      <c r="O83" s="12"/>
      <c r="P83" s="12"/>
      <c r="Q83" s="12"/>
      <c r="R83" s="12"/>
      <c r="S83" s="12" t="s">
        <v>105</v>
      </c>
      <c r="T83" s="12" t="s">
        <v>105</v>
      </c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65"/>
      <c r="AI83" s="98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79"/>
      <c r="BO83" s="79"/>
      <c r="BP83" s="79"/>
      <c r="BQ83" s="79"/>
      <c r="BR83" s="79"/>
      <c r="BS83" s="79"/>
      <c r="BT83" s="79"/>
      <c r="BU83" s="79"/>
      <c r="BV83" s="79"/>
      <c r="BW83" s="79"/>
      <c r="BX83" s="79"/>
      <c r="BY83" s="79"/>
      <c r="BZ83" s="79"/>
      <c r="CA83" s="79"/>
      <c r="CB83" s="79"/>
      <c r="CC83" s="79"/>
      <c r="CD83" s="79"/>
      <c r="CE83" s="79"/>
      <c r="CF83" s="79"/>
      <c r="CG83" s="79"/>
      <c r="CH83" s="79"/>
      <c r="CI83" s="79"/>
      <c r="CJ83" s="79"/>
      <c r="CK83" s="79"/>
      <c r="CL83" s="79"/>
      <c r="CM83" s="79"/>
      <c r="CN83" s="79"/>
      <c r="CO83" s="79"/>
      <c r="CP83" s="79"/>
      <c r="CQ83" s="79"/>
      <c r="CR83" s="79"/>
      <c r="CS83" s="79"/>
      <c r="CT83" s="79"/>
      <c r="CU83" s="79"/>
      <c r="CV83" s="79"/>
      <c r="CW83" s="79"/>
      <c r="CX83" s="79"/>
      <c r="CY83" s="79"/>
      <c r="CZ83" s="79"/>
      <c r="DA83" s="79"/>
      <c r="DB83" s="79"/>
      <c r="DC83" s="79"/>
      <c r="DD83" s="79"/>
      <c r="DE83" s="79"/>
      <c r="DF83" s="79"/>
    </row>
    <row r="84" spans="1:110" s="81" customFormat="1">
      <c r="A84" s="12" t="s">
        <v>142</v>
      </c>
      <c r="B84" s="31" t="s">
        <v>96</v>
      </c>
      <c r="C84" s="96" t="s">
        <v>97</v>
      </c>
      <c r="D84" s="12" t="s">
        <v>223</v>
      </c>
      <c r="E84" s="12" t="s">
        <v>211</v>
      </c>
      <c r="F84" s="12" t="s">
        <v>100</v>
      </c>
      <c r="G84" s="97" t="s">
        <v>6</v>
      </c>
      <c r="H84" s="12" t="s">
        <v>101</v>
      </c>
      <c r="I84" s="12" t="s">
        <v>119</v>
      </c>
      <c r="J84" s="12" t="s">
        <v>107</v>
      </c>
      <c r="K84" s="12"/>
      <c r="L84" s="12"/>
      <c r="M84" s="12"/>
      <c r="N84" s="12"/>
      <c r="O84" s="12"/>
      <c r="P84" s="12"/>
      <c r="Q84" s="12"/>
      <c r="R84" s="12"/>
      <c r="S84" s="12" t="s">
        <v>105</v>
      </c>
      <c r="T84" s="12" t="s">
        <v>105</v>
      </c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65"/>
      <c r="AI84" s="98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79"/>
      <c r="AZ84" s="79"/>
      <c r="BA84" s="79"/>
      <c r="BB84" s="79"/>
      <c r="BC84" s="79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  <c r="BP84" s="79"/>
      <c r="BQ84" s="79"/>
      <c r="BR84" s="79"/>
      <c r="BS84" s="79"/>
      <c r="BT84" s="79"/>
      <c r="BU84" s="79"/>
      <c r="BV84" s="79"/>
      <c r="BW84" s="79"/>
      <c r="BX84" s="79"/>
      <c r="BY84" s="79"/>
      <c r="BZ84" s="79"/>
      <c r="CA84" s="79"/>
      <c r="CB84" s="79"/>
      <c r="CC84" s="79"/>
      <c r="CD84" s="79"/>
      <c r="CE84" s="79"/>
      <c r="CF84" s="79"/>
      <c r="CG84" s="79"/>
      <c r="CH84" s="79"/>
      <c r="CI84" s="79"/>
      <c r="CJ84" s="79"/>
      <c r="CK84" s="79"/>
      <c r="CL84" s="79"/>
      <c r="CM84" s="79"/>
      <c r="CN84" s="79"/>
      <c r="CO84" s="79"/>
      <c r="CP84" s="79"/>
      <c r="CQ84" s="79"/>
      <c r="CR84" s="79"/>
      <c r="CS84" s="79"/>
      <c r="CT84" s="79"/>
      <c r="CU84" s="79"/>
      <c r="CV84" s="79"/>
      <c r="CW84" s="79"/>
      <c r="CX84" s="79"/>
      <c r="CY84" s="79"/>
      <c r="CZ84" s="79"/>
      <c r="DA84" s="79"/>
      <c r="DB84" s="79"/>
      <c r="DC84" s="79"/>
      <c r="DD84" s="79"/>
      <c r="DE84" s="79"/>
      <c r="DF84" s="79"/>
    </row>
    <row r="85" spans="1:110" s="81" customFormat="1">
      <c r="A85" s="12" t="s">
        <v>142</v>
      </c>
      <c r="B85" s="31" t="s">
        <v>96</v>
      </c>
      <c r="C85" s="96" t="s">
        <v>97</v>
      </c>
      <c r="D85" s="12" t="s">
        <v>224</v>
      </c>
      <c r="E85" s="12" t="s">
        <v>211</v>
      </c>
      <c r="F85" s="12" t="s">
        <v>100</v>
      </c>
      <c r="G85" s="97" t="s">
        <v>6</v>
      </c>
      <c r="H85" s="12" t="s">
        <v>101</v>
      </c>
      <c r="I85" s="12" t="s">
        <v>119</v>
      </c>
      <c r="J85" s="12" t="s">
        <v>107</v>
      </c>
      <c r="K85" s="12"/>
      <c r="L85" s="12"/>
      <c r="M85" s="12"/>
      <c r="N85" s="12" t="s">
        <v>122</v>
      </c>
      <c r="O85" s="12"/>
      <c r="P85" s="12"/>
      <c r="Q85" s="12"/>
      <c r="R85" s="12"/>
      <c r="S85" s="12" t="s">
        <v>105</v>
      </c>
      <c r="T85" s="12" t="s">
        <v>105</v>
      </c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65"/>
      <c r="AI85" s="98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  <c r="CH85" s="79"/>
      <c r="CI85" s="79"/>
      <c r="CJ85" s="79"/>
      <c r="CK85" s="79"/>
      <c r="CL85" s="79"/>
      <c r="CM85" s="79"/>
      <c r="CN85" s="79"/>
      <c r="CO85" s="79"/>
      <c r="CP85" s="79"/>
      <c r="CQ85" s="79"/>
      <c r="CR85" s="79"/>
      <c r="CS85" s="79"/>
      <c r="CT85" s="79"/>
      <c r="CU85" s="79"/>
      <c r="CV85" s="79"/>
      <c r="CW85" s="79"/>
      <c r="CX85" s="79"/>
      <c r="CY85" s="79"/>
      <c r="CZ85" s="79"/>
      <c r="DA85" s="79"/>
      <c r="DB85" s="79"/>
      <c r="DC85" s="79"/>
      <c r="DD85" s="79"/>
      <c r="DE85" s="79"/>
      <c r="DF85" s="79"/>
    </row>
    <row r="86" spans="1:110" s="81" customFormat="1" ht="30">
      <c r="A86" s="12"/>
      <c r="B86" s="31" t="s">
        <v>97</v>
      </c>
      <c r="C86" s="96" t="s">
        <v>97</v>
      </c>
      <c r="D86" s="12" t="s">
        <v>225</v>
      </c>
      <c r="E86" s="12" t="s">
        <v>226</v>
      </c>
      <c r="F86" s="12" t="s">
        <v>111</v>
      </c>
      <c r="G86" s="97" t="s">
        <v>6</v>
      </c>
      <c r="H86" s="12" t="s">
        <v>101</v>
      </c>
      <c r="I86" s="12" t="s">
        <v>119</v>
      </c>
      <c r="J86" s="12" t="s">
        <v>107</v>
      </c>
      <c r="K86" s="12"/>
      <c r="L86" s="12"/>
      <c r="M86" s="12"/>
      <c r="N86" s="12" t="s">
        <v>105</v>
      </c>
      <c r="O86" s="12"/>
      <c r="P86" s="12"/>
      <c r="Q86" s="12"/>
      <c r="R86" s="12"/>
      <c r="S86" s="12" t="s">
        <v>105</v>
      </c>
      <c r="T86" s="12" t="s">
        <v>105</v>
      </c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65"/>
      <c r="AI86" s="98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79"/>
      <c r="AY86" s="79"/>
      <c r="AZ86" s="79"/>
      <c r="BA86" s="79"/>
      <c r="BB86" s="79"/>
      <c r="BC86" s="79"/>
      <c r="BD86" s="79"/>
      <c r="BE86" s="79"/>
      <c r="BF86" s="79"/>
      <c r="BG86" s="79"/>
      <c r="BH86" s="79"/>
      <c r="BI86" s="79"/>
      <c r="BJ86" s="79"/>
      <c r="BK86" s="79"/>
      <c r="BL86" s="79"/>
      <c r="BM86" s="79"/>
      <c r="BN86" s="79"/>
      <c r="BO86" s="79"/>
      <c r="BP86" s="79"/>
      <c r="BQ86" s="79"/>
      <c r="BR86" s="79"/>
      <c r="BS86" s="79"/>
      <c r="BT86" s="79"/>
      <c r="BU86" s="79"/>
      <c r="BV86" s="79"/>
      <c r="BW86" s="79"/>
      <c r="BX86" s="79"/>
      <c r="BY86" s="79"/>
      <c r="BZ86" s="79"/>
      <c r="CA86" s="79"/>
      <c r="CB86" s="79"/>
      <c r="CC86" s="79"/>
      <c r="CD86" s="79"/>
      <c r="CE86" s="79"/>
      <c r="CF86" s="79"/>
      <c r="CG86" s="79"/>
      <c r="CH86" s="79"/>
      <c r="CI86" s="79"/>
      <c r="CJ86" s="79"/>
      <c r="CK86" s="79"/>
      <c r="CL86" s="79"/>
      <c r="CM86" s="79"/>
      <c r="CN86" s="79"/>
      <c r="CO86" s="79"/>
      <c r="CP86" s="79"/>
      <c r="CQ86" s="79"/>
      <c r="CR86" s="79"/>
      <c r="CS86" s="79"/>
      <c r="CT86" s="79"/>
      <c r="CU86" s="79"/>
      <c r="CV86" s="79"/>
      <c r="CW86" s="79"/>
      <c r="CX86" s="79"/>
      <c r="CY86" s="79"/>
      <c r="CZ86" s="79"/>
      <c r="DA86" s="79"/>
      <c r="DB86" s="79"/>
      <c r="DC86" s="79"/>
      <c r="DD86" s="79"/>
      <c r="DE86" s="79"/>
      <c r="DF86" s="79"/>
    </row>
    <row r="87" spans="1:110" s="81" customFormat="1" ht="30">
      <c r="A87" s="12"/>
      <c r="B87" s="31" t="s">
        <v>97</v>
      </c>
      <c r="C87" s="96" t="s">
        <v>97</v>
      </c>
      <c r="D87" s="12" t="s">
        <v>227</v>
      </c>
      <c r="E87" s="12" t="s">
        <v>226</v>
      </c>
      <c r="F87" s="12" t="s">
        <v>111</v>
      </c>
      <c r="G87" s="97" t="s">
        <v>6</v>
      </c>
      <c r="H87" s="12" t="s">
        <v>101</v>
      </c>
      <c r="I87" s="12" t="s">
        <v>119</v>
      </c>
      <c r="J87" s="12" t="s">
        <v>107</v>
      </c>
      <c r="K87" s="12"/>
      <c r="L87" s="12"/>
      <c r="M87" s="12"/>
      <c r="N87" s="12" t="s">
        <v>105</v>
      </c>
      <c r="O87" s="12"/>
      <c r="P87" s="12"/>
      <c r="Q87" s="12"/>
      <c r="R87" s="12"/>
      <c r="S87" s="12" t="s">
        <v>105</v>
      </c>
      <c r="T87" s="12" t="s">
        <v>105</v>
      </c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65"/>
      <c r="AI87" s="98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/>
      <c r="AX87" s="79"/>
      <c r="AY87" s="79"/>
      <c r="AZ87" s="79"/>
      <c r="BA87" s="79"/>
      <c r="BB87" s="79"/>
      <c r="BC87" s="79"/>
      <c r="BD87" s="79"/>
      <c r="BE87" s="79"/>
      <c r="BF87" s="79"/>
      <c r="BG87" s="79"/>
      <c r="BH87" s="79"/>
      <c r="BI87" s="79"/>
      <c r="BJ87" s="79"/>
      <c r="BK87" s="79"/>
      <c r="BL87" s="79"/>
      <c r="BM87" s="79"/>
      <c r="BN87" s="79"/>
      <c r="BO87" s="79"/>
      <c r="BP87" s="79"/>
      <c r="BQ87" s="79"/>
      <c r="BR87" s="79"/>
      <c r="BS87" s="79"/>
      <c r="BT87" s="79"/>
      <c r="BU87" s="79"/>
      <c r="BV87" s="79"/>
      <c r="BW87" s="79"/>
      <c r="BX87" s="79"/>
      <c r="BY87" s="79"/>
      <c r="BZ87" s="79"/>
      <c r="CA87" s="79"/>
      <c r="CB87" s="79"/>
      <c r="CC87" s="79"/>
      <c r="CD87" s="79"/>
      <c r="CE87" s="79"/>
      <c r="CF87" s="79"/>
      <c r="CG87" s="79"/>
      <c r="CH87" s="79"/>
      <c r="CI87" s="79"/>
      <c r="CJ87" s="79"/>
      <c r="CK87" s="79"/>
      <c r="CL87" s="79"/>
      <c r="CM87" s="79"/>
      <c r="CN87" s="79"/>
      <c r="CO87" s="79"/>
      <c r="CP87" s="79"/>
      <c r="CQ87" s="79"/>
      <c r="CR87" s="79"/>
      <c r="CS87" s="79"/>
      <c r="CT87" s="79"/>
      <c r="CU87" s="79"/>
      <c r="CV87" s="79"/>
      <c r="CW87" s="79"/>
      <c r="CX87" s="79"/>
      <c r="CY87" s="79"/>
      <c r="CZ87" s="79"/>
      <c r="DA87" s="79"/>
      <c r="DB87" s="79"/>
      <c r="DC87" s="79"/>
      <c r="DD87" s="79"/>
      <c r="DE87" s="79"/>
      <c r="DF87" s="79"/>
    </row>
    <row r="88" spans="1:110" s="81" customFormat="1" ht="30">
      <c r="A88" s="12" t="s">
        <v>108</v>
      </c>
      <c r="B88" s="31" t="s">
        <v>97</v>
      </c>
      <c r="C88" s="96" t="s">
        <v>97</v>
      </c>
      <c r="D88" s="12" t="s">
        <v>228</v>
      </c>
      <c r="E88" s="12" t="s">
        <v>226</v>
      </c>
      <c r="F88" s="12" t="s">
        <v>111</v>
      </c>
      <c r="G88" s="97" t="s">
        <v>6</v>
      </c>
      <c r="H88" s="12" t="s">
        <v>101</v>
      </c>
      <c r="I88" s="12" t="s">
        <v>112</v>
      </c>
      <c r="J88" s="12" t="s">
        <v>107</v>
      </c>
      <c r="K88" s="12"/>
      <c r="L88" s="12"/>
      <c r="M88" s="12"/>
      <c r="N88" s="12" t="s">
        <v>122</v>
      </c>
      <c r="O88" s="12"/>
      <c r="P88" s="12"/>
      <c r="Q88" s="12"/>
      <c r="R88" s="12"/>
      <c r="S88" s="12" t="s">
        <v>122</v>
      </c>
      <c r="T88" s="12" t="s">
        <v>122</v>
      </c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65"/>
      <c r="AI88" s="98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  <c r="BP88" s="79"/>
      <c r="BQ88" s="79"/>
      <c r="BR88" s="79"/>
      <c r="BS88" s="79"/>
      <c r="BT88" s="79"/>
      <c r="BU88" s="79"/>
      <c r="BV88" s="79"/>
      <c r="BW88" s="79"/>
      <c r="BX88" s="79"/>
      <c r="BY88" s="79"/>
      <c r="BZ88" s="79"/>
      <c r="CA88" s="79"/>
      <c r="CB88" s="79"/>
      <c r="CC88" s="79"/>
      <c r="CD88" s="79"/>
      <c r="CE88" s="79"/>
      <c r="CF88" s="79"/>
      <c r="CG88" s="79"/>
      <c r="CH88" s="79"/>
      <c r="CI88" s="79"/>
      <c r="CJ88" s="79"/>
      <c r="CK88" s="79"/>
      <c r="CL88" s="79"/>
      <c r="CM88" s="79"/>
      <c r="CN88" s="79"/>
      <c r="CO88" s="79"/>
      <c r="CP88" s="79"/>
      <c r="CQ88" s="79"/>
      <c r="CR88" s="79"/>
      <c r="CS88" s="79"/>
      <c r="CT88" s="79"/>
      <c r="CU88" s="79"/>
      <c r="CV88" s="79"/>
      <c r="CW88" s="79"/>
      <c r="CX88" s="79"/>
      <c r="CY88" s="79"/>
      <c r="CZ88" s="79"/>
      <c r="DA88" s="79"/>
      <c r="DB88" s="79"/>
      <c r="DC88" s="79"/>
      <c r="DD88" s="79"/>
      <c r="DE88" s="79"/>
      <c r="DF88" s="79"/>
    </row>
    <row r="89" spans="1:110" s="81" customFormat="1">
      <c r="A89" s="12" t="s">
        <v>142</v>
      </c>
      <c r="B89" s="31" t="s">
        <v>96</v>
      </c>
      <c r="C89" s="96" t="s">
        <v>96</v>
      </c>
      <c r="D89" s="12" t="s">
        <v>229</v>
      </c>
      <c r="E89" s="12" t="s">
        <v>230</v>
      </c>
      <c r="F89" s="12" t="s">
        <v>100</v>
      </c>
      <c r="G89" s="97" t="s">
        <v>6</v>
      </c>
      <c r="H89" s="12" t="s">
        <v>101</v>
      </c>
      <c r="I89" s="12" t="s">
        <v>119</v>
      </c>
      <c r="J89" s="12" t="s">
        <v>107</v>
      </c>
      <c r="K89" s="12"/>
      <c r="L89" s="12"/>
      <c r="M89" s="12"/>
      <c r="N89" s="12"/>
      <c r="O89" s="12"/>
      <c r="P89" s="12"/>
      <c r="Q89" s="12"/>
      <c r="R89" s="12"/>
      <c r="S89" s="12" t="s">
        <v>105</v>
      </c>
      <c r="T89" s="12" t="s">
        <v>105</v>
      </c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65"/>
      <c r="AI89" s="98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79"/>
      <c r="BO89" s="79"/>
      <c r="BP89" s="79"/>
      <c r="BQ89" s="79"/>
      <c r="BR89" s="79"/>
      <c r="BS89" s="79"/>
      <c r="BT89" s="79"/>
      <c r="BU89" s="79"/>
      <c r="BV89" s="79"/>
      <c r="BW89" s="79"/>
      <c r="BX89" s="79"/>
      <c r="BY89" s="79"/>
      <c r="BZ89" s="79"/>
      <c r="CA89" s="79"/>
      <c r="CB89" s="79"/>
      <c r="CC89" s="79"/>
      <c r="CD89" s="79"/>
      <c r="CE89" s="79"/>
      <c r="CF89" s="79"/>
      <c r="CG89" s="79"/>
      <c r="CH89" s="79"/>
      <c r="CI89" s="79"/>
      <c r="CJ89" s="79"/>
      <c r="CK89" s="79"/>
      <c r="CL89" s="79"/>
      <c r="CM89" s="79"/>
      <c r="CN89" s="79"/>
      <c r="CO89" s="79"/>
      <c r="CP89" s="79"/>
      <c r="CQ89" s="79"/>
      <c r="CR89" s="79"/>
      <c r="CS89" s="79"/>
      <c r="CT89" s="79"/>
      <c r="CU89" s="79"/>
      <c r="CV89" s="79"/>
      <c r="CW89" s="79"/>
      <c r="CX89" s="79"/>
      <c r="CY89" s="79"/>
      <c r="CZ89" s="79"/>
      <c r="DA89" s="79"/>
      <c r="DB89" s="79"/>
      <c r="DC89" s="79"/>
      <c r="DD89" s="79"/>
      <c r="DE89" s="79"/>
      <c r="DF89" s="79"/>
    </row>
    <row r="90" spans="1:110" s="81" customFormat="1">
      <c r="A90" s="12"/>
      <c r="B90" s="31" t="s">
        <v>97</v>
      </c>
      <c r="C90" s="96" t="s">
        <v>96</v>
      </c>
      <c r="D90" s="12" t="s">
        <v>231</v>
      </c>
      <c r="E90" s="12" t="s">
        <v>232</v>
      </c>
      <c r="F90" s="12" t="s">
        <v>100</v>
      </c>
      <c r="G90" s="97" t="s">
        <v>6</v>
      </c>
      <c r="H90" s="12" t="s">
        <v>101</v>
      </c>
      <c r="I90" s="12" t="s">
        <v>119</v>
      </c>
      <c r="J90" s="12" t="s">
        <v>194</v>
      </c>
      <c r="K90" s="12"/>
      <c r="L90" s="12"/>
      <c r="M90" s="12"/>
      <c r="N90" s="12"/>
      <c r="O90" s="12"/>
      <c r="P90" s="12"/>
      <c r="Q90" s="12"/>
      <c r="R90" s="12"/>
      <c r="S90" s="12" t="s">
        <v>105</v>
      </c>
      <c r="T90" s="12" t="s">
        <v>105</v>
      </c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65"/>
      <c r="AI90" s="98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  <c r="AY90" s="79"/>
      <c r="AZ90" s="79"/>
      <c r="BA90" s="79"/>
      <c r="BB90" s="79"/>
      <c r="BC90" s="79"/>
      <c r="BD90" s="79"/>
      <c r="BE90" s="79"/>
      <c r="BF90" s="79"/>
      <c r="BG90" s="79"/>
      <c r="BH90" s="79"/>
      <c r="BI90" s="79"/>
      <c r="BJ90" s="79"/>
      <c r="BK90" s="79"/>
      <c r="BL90" s="79"/>
      <c r="BM90" s="79"/>
      <c r="BN90" s="79"/>
      <c r="BO90" s="79"/>
      <c r="BP90" s="79"/>
      <c r="BQ90" s="79"/>
      <c r="BR90" s="79"/>
      <c r="BS90" s="79"/>
      <c r="BT90" s="79"/>
      <c r="BU90" s="79"/>
      <c r="BV90" s="79"/>
      <c r="BW90" s="79"/>
      <c r="BX90" s="79"/>
      <c r="BY90" s="79"/>
      <c r="BZ90" s="79"/>
      <c r="CA90" s="79"/>
      <c r="CB90" s="79"/>
      <c r="CC90" s="79"/>
      <c r="CD90" s="79"/>
      <c r="CE90" s="79"/>
      <c r="CF90" s="79"/>
      <c r="CG90" s="79"/>
      <c r="CH90" s="79"/>
      <c r="CI90" s="79"/>
      <c r="CJ90" s="79"/>
      <c r="CK90" s="79"/>
      <c r="CL90" s="79"/>
      <c r="CM90" s="79"/>
      <c r="CN90" s="79"/>
      <c r="CO90" s="79"/>
      <c r="CP90" s="79"/>
      <c r="CQ90" s="79"/>
      <c r="CR90" s="79"/>
      <c r="CS90" s="79"/>
      <c r="CT90" s="79"/>
      <c r="CU90" s="79"/>
      <c r="CV90" s="79"/>
      <c r="CW90" s="79"/>
      <c r="CX90" s="79"/>
      <c r="CY90" s="79"/>
      <c r="CZ90" s="79"/>
      <c r="DA90" s="79"/>
      <c r="DB90" s="79"/>
      <c r="DC90" s="79"/>
      <c r="DD90" s="79"/>
      <c r="DE90" s="79"/>
      <c r="DF90" s="79"/>
    </row>
    <row r="91" spans="1:110" s="81" customFormat="1">
      <c r="A91" s="12" t="s">
        <v>95</v>
      </c>
      <c r="B91" s="31" t="s">
        <v>97</v>
      </c>
      <c r="C91" s="96" t="s">
        <v>97</v>
      </c>
      <c r="D91" s="12" t="s">
        <v>233</v>
      </c>
      <c r="E91" s="12" t="s">
        <v>110</v>
      </c>
      <c r="F91" s="12" t="s">
        <v>100</v>
      </c>
      <c r="G91" s="97" t="s">
        <v>6</v>
      </c>
      <c r="H91" s="12" t="s">
        <v>101</v>
      </c>
      <c r="I91" s="12" t="s">
        <v>119</v>
      </c>
      <c r="J91" s="12" t="s">
        <v>107</v>
      </c>
      <c r="K91" s="12"/>
      <c r="L91" s="12"/>
      <c r="M91" s="12"/>
      <c r="N91" s="12" t="s">
        <v>105</v>
      </c>
      <c r="O91" s="12"/>
      <c r="P91" s="12"/>
      <c r="Q91" s="12"/>
      <c r="R91" s="12"/>
      <c r="S91" s="12" t="s">
        <v>105</v>
      </c>
      <c r="T91" s="12" t="s">
        <v>105</v>
      </c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65"/>
      <c r="AI91" s="98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/>
      <c r="BB91" s="79"/>
      <c r="BC91" s="79"/>
      <c r="BD91" s="79"/>
      <c r="BE91" s="79"/>
      <c r="BF91" s="79"/>
      <c r="BG91" s="79"/>
      <c r="BH91" s="79"/>
      <c r="BI91" s="79"/>
      <c r="BJ91" s="79"/>
      <c r="BK91" s="79"/>
      <c r="BL91" s="79"/>
      <c r="BM91" s="79"/>
      <c r="BN91" s="79"/>
      <c r="BO91" s="79"/>
      <c r="BP91" s="79"/>
      <c r="BQ91" s="79"/>
      <c r="BR91" s="79"/>
      <c r="BS91" s="79"/>
      <c r="BT91" s="79"/>
      <c r="BU91" s="79"/>
      <c r="BV91" s="79"/>
      <c r="BW91" s="79"/>
      <c r="BX91" s="79"/>
      <c r="BY91" s="79"/>
      <c r="BZ91" s="79"/>
      <c r="CA91" s="79"/>
      <c r="CB91" s="79"/>
      <c r="CC91" s="79"/>
      <c r="CD91" s="79"/>
      <c r="CE91" s="79"/>
      <c r="CF91" s="79"/>
      <c r="CG91" s="79"/>
      <c r="CH91" s="79"/>
      <c r="CI91" s="79"/>
      <c r="CJ91" s="79"/>
      <c r="CK91" s="79"/>
      <c r="CL91" s="79"/>
      <c r="CM91" s="79"/>
      <c r="CN91" s="79"/>
      <c r="CO91" s="79"/>
      <c r="CP91" s="79"/>
      <c r="CQ91" s="79"/>
      <c r="CR91" s="79"/>
      <c r="CS91" s="79"/>
      <c r="CT91" s="79"/>
      <c r="CU91" s="79"/>
      <c r="CV91" s="79"/>
      <c r="CW91" s="79"/>
      <c r="CX91" s="79"/>
      <c r="CY91" s="79"/>
      <c r="CZ91" s="79"/>
      <c r="DA91" s="79"/>
      <c r="DB91" s="79"/>
      <c r="DC91" s="79"/>
      <c r="DD91" s="79"/>
      <c r="DE91" s="79"/>
      <c r="DF91" s="79"/>
    </row>
    <row r="92" spans="1:110" s="81" customFormat="1">
      <c r="A92" s="241" t="s">
        <v>95</v>
      </c>
      <c r="B92" s="31" t="s">
        <v>97</v>
      </c>
      <c r="C92" s="96" t="s">
        <v>97</v>
      </c>
      <c r="D92" s="12" t="s">
        <v>234</v>
      </c>
      <c r="E92" s="12" t="s">
        <v>160</v>
      </c>
      <c r="F92" s="12" t="s">
        <v>8</v>
      </c>
      <c r="G92" s="97" t="s">
        <v>6</v>
      </c>
      <c r="H92" s="12" t="s">
        <v>101</v>
      </c>
      <c r="I92" s="12" t="s">
        <v>112</v>
      </c>
      <c r="J92" s="12" t="s">
        <v>194</v>
      </c>
      <c r="K92" s="12"/>
      <c r="L92" s="12"/>
      <c r="M92" s="12"/>
      <c r="N92" s="12" t="s">
        <v>105</v>
      </c>
      <c r="O92" s="12"/>
      <c r="P92" s="12"/>
      <c r="Q92" s="12"/>
      <c r="R92" s="12"/>
      <c r="S92" s="12"/>
      <c r="T92" s="12" t="s">
        <v>105</v>
      </c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65"/>
      <c r="AI92" s="98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79"/>
      <c r="BG92" s="79"/>
      <c r="BH92" s="79"/>
      <c r="BI92" s="79"/>
      <c r="BJ92" s="79"/>
      <c r="BK92" s="79"/>
      <c r="BL92" s="79"/>
      <c r="BM92" s="79"/>
      <c r="BN92" s="79"/>
      <c r="BO92" s="79"/>
      <c r="BP92" s="79"/>
      <c r="BQ92" s="79"/>
      <c r="BR92" s="79"/>
      <c r="BS92" s="79"/>
      <c r="BT92" s="79"/>
      <c r="BU92" s="79"/>
      <c r="BV92" s="79"/>
      <c r="BW92" s="79"/>
      <c r="BX92" s="79"/>
      <c r="BY92" s="79"/>
      <c r="BZ92" s="79"/>
      <c r="CA92" s="79"/>
      <c r="CB92" s="79"/>
      <c r="CC92" s="79"/>
      <c r="CD92" s="79"/>
      <c r="CE92" s="79"/>
      <c r="CF92" s="79"/>
      <c r="CG92" s="79"/>
      <c r="CH92" s="79"/>
      <c r="CI92" s="79"/>
      <c r="CJ92" s="79"/>
      <c r="CK92" s="79"/>
      <c r="CL92" s="79"/>
      <c r="CM92" s="79"/>
      <c r="CN92" s="79"/>
      <c r="CO92" s="79"/>
      <c r="CP92" s="79"/>
      <c r="CQ92" s="79"/>
      <c r="CR92" s="79"/>
      <c r="CS92" s="79"/>
      <c r="CT92" s="79"/>
      <c r="CU92" s="79"/>
      <c r="CV92" s="79"/>
      <c r="CW92" s="79"/>
      <c r="CX92" s="79"/>
      <c r="CY92" s="79"/>
      <c r="CZ92" s="79"/>
      <c r="DA92" s="79"/>
      <c r="DB92" s="79"/>
      <c r="DC92" s="79"/>
      <c r="DD92" s="79"/>
      <c r="DE92" s="79"/>
      <c r="DF92" s="79"/>
    </row>
    <row r="93" spans="1:110" s="81" customFormat="1" ht="30">
      <c r="A93" s="12" t="s">
        <v>142</v>
      </c>
      <c r="B93" s="31" t="s">
        <v>97</v>
      </c>
      <c r="C93" s="96" t="s">
        <v>96</v>
      </c>
      <c r="D93" s="12" t="s">
        <v>235</v>
      </c>
      <c r="E93" s="12" t="s">
        <v>204</v>
      </c>
      <c r="F93" s="12" t="s">
        <v>8</v>
      </c>
      <c r="G93" s="97" t="s">
        <v>6</v>
      </c>
      <c r="H93" s="12" t="s">
        <v>236</v>
      </c>
      <c r="I93" s="12" t="s">
        <v>112</v>
      </c>
      <c r="J93" s="12" t="s">
        <v>194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65"/>
      <c r="AI93" s="98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79"/>
      <c r="BB93" s="79"/>
      <c r="BC93" s="79"/>
      <c r="BD93" s="79"/>
      <c r="BE93" s="79"/>
      <c r="BF93" s="79"/>
      <c r="BG93" s="79"/>
      <c r="BH93" s="79"/>
      <c r="BI93" s="79"/>
      <c r="BJ93" s="79"/>
      <c r="BK93" s="79"/>
      <c r="BL93" s="79"/>
      <c r="BM93" s="79"/>
      <c r="BN93" s="79"/>
      <c r="BO93" s="79"/>
      <c r="BP93" s="79"/>
      <c r="BQ93" s="79"/>
      <c r="BR93" s="79"/>
      <c r="BS93" s="79"/>
      <c r="BT93" s="79"/>
      <c r="BU93" s="79"/>
      <c r="BV93" s="79"/>
      <c r="BW93" s="79"/>
      <c r="BX93" s="79"/>
      <c r="BY93" s="79"/>
      <c r="BZ93" s="79"/>
      <c r="CA93" s="79"/>
      <c r="CB93" s="79"/>
      <c r="CC93" s="79"/>
      <c r="CD93" s="79"/>
      <c r="CE93" s="79"/>
      <c r="CF93" s="79"/>
      <c r="CG93" s="79"/>
      <c r="CH93" s="79"/>
      <c r="CI93" s="79"/>
      <c r="CJ93" s="79"/>
      <c r="CK93" s="79"/>
      <c r="CL93" s="79"/>
      <c r="CM93" s="79"/>
      <c r="CN93" s="79"/>
      <c r="CO93" s="79"/>
      <c r="CP93" s="79"/>
      <c r="CQ93" s="79"/>
      <c r="CR93" s="79"/>
      <c r="CS93" s="79"/>
      <c r="CT93" s="79"/>
      <c r="CU93" s="79"/>
      <c r="CV93" s="79"/>
      <c r="CW93" s="79"/>
      <c r="CX93" s="79"/>
      <c r="CY93" s="79"/>
      <c r="CZ93" s="79"/>
      <c r="DA93" s="79"/>
      <c r="DB93" s="79"/>
      <c r="DC93" s="79"/>
      <c r="DD93" s="79"/>
      <c r="DE93" s="79"/>
      <c r="DF93" s="79"/>
    </row>
    <row r="94" spans="1:110" ht="30">
      <c r="A94" s="12" t="s">
        <v>142</v>
      </c>
      <c r="B94" s="31" t="s">
        <v>97</v>
      </c>
      <c r="C94" s="96" t="s">
        <v>96</v>
      </c>
      <c r="D94" s="12" t="s">
        <v>237</v>
      </c>
      <c r="E94" s="12" t="s">
        <v>204</v>
      </c>
      <c r="F94" s="12" t="s">
        <v>8</v>
      </c>
      <c r="G94" s="97" t="s">
        <v>6</v>
      </c>
      <c r="H94" s="12" t="s">
        <v>236</v>
      </c>
      <c r="I94" s="12" t="s">
        <v>112</v>
      </c>
      <c r="J94" s="12" t="s">
        <v>194</v>
      </c>
      <c r="K94" s="12"/>
      <c r="L94" s="12"/>
      <c r="M94" s="12"/>
      <c r="N94" s="12"/>
      <c r="O94" s="12"/>
      <c r="P94" s="12"/>
      <c r="Q94" s="12"/>
      <c r="R94" s="12"/>
      <c r="S94" s="12"/>
      <c r="T94" s="12" t="s">
        <v>105</v>
      </c>
      <c r="U94" s="12"/>
      <c r="V94" s="12" t="s">
        <v>105</v>
      </c>
      <c r="W94" s="12"/>
      <c r="X94" s="12"/>
      <c r="Y94" s="12"/>
      <c r="Z94" s="12" t="s">
        <v>105</v>
      </c>
      <c r="AA94" s="12"/>
      <c r="AB94" s="12"/>
      <c r="AC94" s="12"/>
      <c r="AD94" s="12"/>
      <c r="AE94" s="12"/>
      <c r="AF94" s="12"/>
      <c r="AG94" s="12"/>
      <c r="AH94" s="65"/>
      <c r="AI94" s="98"/>
    </row>
    <row r="95" spans="1:110">
      <c r="A95" s="241" t="s">
        <v>95</v>
      </c>
      <c r="B95" s="31" t="s">
        <v>97</v>
      </c>
      <c r="C95" s="96" t="s">
        <v>97</v>
      </c>
      <c r="D95" s="12" t="s">
        <v>238</v>
      </c>
      <c r="E95" s="12" t="s">
        <v>160</v>
      </c>
      <c r="F95" s="12" t="s">
        <v>8</v>
      </c>
      <c r="G95" s="97" t="s">
        <v>6</v>
      </c>
      <c r="H95" s="12" t="s">
        <v>101</v>
      </c>
      <c r="I95" s="12" t="s">
        <v>119</v>
      </c>
      <c r="J95" s="12" t="s">
        <v>107</v>
      </c>
      <c r="K95" s="12"/>
      <c r="L95" s="12"/>
      <c r="M95" s="12"/>
      <c r="N95" s="12"/>
      <c r="O95" s="12"/>
      <c r="P95" s="12"/>
      <c r="Q95" s="12"/>
      <c r="R95" s="12"/>
      <c r="S95" s="12" t="s">
        <v>239</v>
      </c>
      <c r="T95" s="12" t="s">
        <v>105</v>
      </c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65"/>
      <c r="AI95" s="98"/>
    </row>
    <row r="96" spans="1:110">
      <c r="A96" s="241" t="s">
        <v>95</v>
      </c>
      <c r="B96" s="31" t="s">
        <v>96</v>
      </c>
      <c r="C96" s="96" t="s">
        <v>97</v>
      </c>
      <c r="D96" s="12" t="s">
        <v>240</v>
      </c>
      <c r="E96" s="12" t="s">
        <v>160</v>
      </c>
      <c r="F96" s="12" t="s">
        <v>8</v>
      </c>
      <c r="G96" s="97" t="s">
        <v>6</v>
      </c>
      <c r="H96" s="12" t="s">
        <v>101</v>
      </c>
      <c r="I96" s="12" t="s">
        <v>119</v>
      </c>
      <c r="J96" s="12" t="s">
        <v>107</v>
      </c>
      <c r="K96" s="12"/>
      <c r="L96" s="12"/>
      <c r="M96" s="12"/>
      <c r="N96" s="12"/>
      <c r="O96" s="12"/>
      <c r="P96" s="12"/>
      <c r="Q96" s="12"/>
      <c r="R96" s="12"/>
      <c r="S96" s="12" t="s">
        <v>105</v>
      </c>
      <c r="T96" s="12" t="s">
        <v>105</v>
      </c>
      <c r="U96" s="12"/>
      <c r="V96" s="12"/>
      <c r="W96" s="12"/>
      <c r="X96" s="12"/>
      <c r="Y96" s="12"/>
      <c r="Z96" s="12" t="s">
        <v>105</v>
      </c>
      <c r="AA96" s="12"/>
      <c r="AB96" s="12"/>
      <c r="AC96" s="12"/>
      <c r="AD96" s="12"/>
      <c r="AE96" s="12"/>
      <c r="AF96" s="12"/>
      <c r="AG96" s="12"/>
      <c r="AH96" s="65"/>
      <c r="AI96" s="98"/>
    </row>
    <row r="97" spans="1:110">
      <c r="A97" s="241" t="s">
        <v>95</v>
      </c>
      <c r="B97" s="31" t="s">
        <v>97</v>
      </c>
      <c r="C97" s="96" t="s">
        <v>97</v>
      </c>
      <c r="D97" s="12" t="s">
        <v>241</v>
      </c>
      <c r="E97" s="12" t="s">
        <v>160</v>
      </c>
      <c r="F97" s="12" t="s">
        <v>8</v>
      </c>
      <c r="G97" s="97" t="s">
        <v>6</v>
      </c>
      <c r="H97" s="12" t="s">
        <v>101</v>
      </c>
      <c r="I97" s="12" t="s">
        <v>119</v>
      </c>
      <c r="J97" s="12" t="s">
        <v>107</v>
      </c>
      <c r="K97" s="12"/>
      <c r="L97" s="12"/>
      <c r="M97" s="12"/>
      <c r="N97" s="12"/>
      <c r="O97" s="12"/>
      <c r="P97" s="12"/>
      <c r="Q97" s="12"/>
      <c r="R97" s="12"/>
      <c r="S97" s="12" t="s">
        <v>105</v>
      </c>
      <c r="T97" s="12" t="s">
        <v>105</v>
      </c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65"/>
      <c r="AI97" s="98"/>
    </row>
    <row r="98" spans="1:110">
      <c r="A98" s="241" t="s">
        <v>95</v>
      </c>
      <c r="B98" s="31" t="s">
        <v>97</v>
      </c>
      <c r="C98" s="96" t="s">
        <v>96</v>
      </c>
      <c r="D98" s="12" t="s">
        <v>242</v>
      </c>
      <c r="E98" s="12" t="s">
        <v>160</v>
      </c>
      <c r="F98" s="12" t="s">
        <v>8</v>
      </c>
      <c r="G98" s="97" t="s">
        <v>6</v>
      </c>
      <c r="H98" s="12" t="s">
        <v>101</v>
      </c>
      <c r="I98" s="12" t="s">
        <v>119</v>
      </c>
      <c r="J98" s="12" t="s">
        <v>107</v>
      </c>
      <c r="K98" s="12"/>
      <c r="L98" s="12"/>
      <c r="M98" s="12"/>
      <c r="N98" s="12"/>
      <c r="O98" s="12"/>
      <c r="P98" s="12"/>
      <c r="Q98" s="12"/>
      <c r="R98" s="12"/>
      <c r="S98" s="12" t="s">
        <v>105</v>
      </c>
      <c r="T98" s="12" t="s">
        <v>105</v>
      </c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65"/>
      <c r="AI98" s="98"/>
    </row>
    <row r="99" spans="1:110">
      <c r="A99" s="241" t="s">
        <v>95</v>
      </c>
      <c r="B99" s="31" t="s">
        <v>97</v>
      </c>
      <c r="C99" s="96" t="s">
        <v>97</v>
      </c>
      <c r="D99" s="12" t="s">
        <v>243</v>
      </c>
      <c r="E99" s="12" t="s">
        <v>160</v>
      </c>
      <c r="F99" s="12" t="s">
        <v>8</v>
      </c>
      <c r="G99" s="97" t="s">
        <v>6</v>
      </c>
      <c r="H99" s="12" t="s">
        <v>101</v>
      </c>
      <c r="I99" s="12" t="s">
        <v>119</v>
      </c>
      <c r="J99" s="12" t="s">
        <v>107</v>
      </c>
      <c r="K99" s="12"/>
      <c r="L99" s="12"/>
      <c r="M99" s="12"/>
      <c r="N99" s="12"/>
      <c r="O99" s="12"/>
      <c r="P99" s="12"/>
      <c r="Q99" s="12"/>
      <c r="R99" s="12"/>
      <c r="S99" s="12" t="s">
        <v>105</v>
      </c>
      <c r="T99" s="12" t="s">
        <v>105</v>
      </c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65"/>
      <c r="AI99" s="98"/>
    </row>
    <row r="100" spans="1:110">
      <c r="A100" s="241" t="s">
        <v>95</v>
      </c>
      <c r="B100" s="31" t="s">
        <v>96</v>
      </c>
      <c r="C100" s="96" t="s">
        <v>97</v>
      </c>
      <c r="D100" s="12" t="s">
        <v>244</v>
      </c>
      <c r="E100" s="12" t="s">
        <v>160</v>
      </c>
      <c r="F100" s="12" t="s">
        <v>8</v>
      </c>
      <c r="G100" s="97" t="s">
        <v>6</v>
      </c>
      <c r="H100" s="12" t="s">
        <v>101</v>
      </c>
      <c r="I100" s="12" t="s">
        <v>119</v>
      </c>
      <c r="J100" s="12" t="s">
        <v>107</v>
      </c>
      <c r="K100" s="12"/>
      <c r="L100" s="12"/>
      <c r="M100" s="12"/>
      <c r="N100" s="12"/>
      <c r="O100" s="12"/>
      <c r="P100" s="12"/>
      <c r="Q100" s="12"/>
      <c r="R100" s="12"/>
      <c r="S100" s="12" t="s">
        <v>239</v>
      </c>
      <c r="T100" s="12" t="s">
        <v>105</v>
      </c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65"/>
      <c r="AI100" s="98"/>
    </row>
    <row r="101" spans="1:110" ht="30">
      <c r="A101" s="241" t="s">
        <v>95</v>
      </c>
      <c r="B101" s="31" t="s">
        <v>96</v>
      </c>
      <c r="C101" s="96" t="s">
        <v>97</v>
      </c>
      <c r="D101" s="12" t="s">
        <v>245</v>
      </c>
      <c r="E101" s="12" t="s">
        <v>160</v>
      </c>
      <c r="F101" s="12" t="s">
        <v>8</v>
      </c>
      <c r="G101" s="97" t="s">
        <v>6</v>
      </c>
      <c r="H101" s="12" t="s">
        <v>101</v>
      </c>
      <c r="I101" s="12" t="s">
        <v>119</v>
      </c>
      <c r="J101" s="12" t="s">
        <v>114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65"/>
      <c r="AI101" s="98"/>
    </row>
    <row r="102" spans="1:110">
      <c r="A102" s="241" t="s">
        <v>95</v>
      </c>
      <c r="B102" s="31" t="s">
        <v>96</v>
      </c>
      <c r="C102" s="96" t="s">
        <v>96</v>
      </c>
      <c r="D102" s="26" t="s">
        <v>246</v>
      </c>
      <c r="E102" s="26" t="s">
        <v>160</v>
      </c>
      <c r="F102" s="12" t="s">
        <v>8</v>
      </c>
      <c r="G102" s="97" t="s">
        <v>6</v>
      </c>
      <c r="H102" s="26" t="s">
        <v>101</v>
      </c>
      <c r="I102" s="26" t="s">
        <v>119</v>
      </c>
      <c r="J102" s="12" t="s">
        <v>107</v>
      </c>
      <c r="K102" s="12"/>
      <c r="L102" s="26"/>
      <c r="M102" s="26"/>
      <c r="N102" s="26" t="s">
        <v>105</v>
      </c>
      <c r="O102" s="26"/>
      <c r="P102" s="26"/>
      <c r="Q102" s="26"/>
      <c r="R102" s="26"/>
      <c r="S102" s="26" t="s">
        <v>105</v>
      </c>
      <c r="T102" s="26" t="s">
        <v>105</v>
      </c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98"/>
    </row>
    <row r="103" spans="1:110" s="81" customFormat="1">
      <c r="A103" s="241" t="s">
        <v>95</v>
      </c>
      <c r="B103" s="31" t="s">
        <v>96</v>
      </c>
      <c r="C103" s="96" t="s">
        <v>97</v>
      </c>
      <c r="D103" s="12" t="s">
        <v>247</v>
      </c>
      <c r="E103" s="12" t="s">
        <v>160</v>
      </c>
      <c r="F103" s="12" t="s">
        <v>8</v>
      </c>
      <c r="G103" s="97" t="s">
        <v>6</v>
      </c>
      <c r="H103" s="12" t="s">
        <v>101</v>
      </c>
      <c r="I103" s="12" t="s">
        <v>119</v>
      </c>
      <c r="J103" s="12" t="s">
        <v>248</v>
      </c>
      <c r="K103" s="12"/>
      <c r="L103" s="12"/>
      <c r="M103" s="12"/>
      <c r="N103" s="12"/>
      <c r="O103" s="12"/>
      <c r="P103" s="12"/>
      <c r="Q103" s="12"/>
      <c r="R103" s="12"/>
      <c r="S103" s="12" t="s">
        <v>105</v>
      </c>
      <c r="T103" s="12" t="s">
        <v>105</v>
      </c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65"/>
      <c r="AI103" s="98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  <c r="AY103" s="79"/>
      <c r="AZ103" s="79"/>
      <c r="BA103" s="79"/>
      <c r="BB103" s="79"/>
      <c r="BC103" s="79"/>
      <c r="BD103" s="79"/>
      <c r="BE103" s="79"/>
      <c r="BF103" s="79"/>
      <c r="BG103" s="79"/>
      <c r="BH103" s="79"/>
      <c r="BI103" s="79"/>
      <c r="BJ103" s="79"/>
      <c r="BK103" s="79"/>
      <c r="BL103" s="79"/>
      <c r="BM103" s="79"/>
      <c r="BN103" s="79"/>
      <c r="BO103" s="79"/>
      <c r="BP103" s="79"/>
      <c r="BQ103" s="79"/>
      <c r="BR103" s="79"/>
      <c r="BS103" s="79"/>
      <c r="BT103" s="79"/>
      <c r="BU103" s="79"/>
      <c r="BV103" s="79"/>
      <c r="BW103" s="79"/>
      <c r="BX103" s="79"/>
      <c r="BY103" s="79"/>
      <c r="BZ103" s="79"/>
      <c r="CA103" s="79"/>
      <c r="CB103" s="79"/>
      <c r="CC103" s="79"/>
      <c r="CD103" s="79"/>
      <c r="CE103" s="79"/>
      <c r="CF103" s="79"/>
      <c r="CG103" s="79"/>
      <c r="CH103" s="79"/>
      <c r="CI103" s="79"/>
      <c r="CJ103" s="79"/>
      <c r="CK103" s="79"/>
      <c r="CL103" s="79"/>
      <c r="CM103" s="79"/>
      <c r="CN103" s="79"/>
      <c r="CO103" s="79"/>
      <c r="CP103" s="79"/>
      <c r="CQ103" s="79"/>
      <c r="CR103" s="79"/>
      <c r="CS103" s="79"/>
      <c r="CT103" s="79"/>
      <c r="CU103" s="79"/>
      <c r="CV103" s="79"/>
      <c r="CW103" s="79"/>
      <c r="CX103" s="79"/>
      <c r="CY103" s="79"/>
      <c r="CZ103" s="79"/>
      <c r="DA103" s="79"/>
      <c r="DB103" s="79"/>
      <c r="DC103" s="79"/>
      <c r="DD103" s="79"/>
      <c r="DE103" s="79"/>
      <c r="DF103" s="79"/>
    </row>
    <row r="104" spans="1:110" s="80" customFormat="1">
      <c r="A104" s="241" t="s">
        <v>95</v>
      </c>
      <c r="B104" s="31" t="s">
        <v>96</v>
      </c>
      <c r="C104" s="96" t="s">
        <v>96</v>
      </c>
      <c r="D104" s="12" t="s">
        <v>249</v>
      </c>
      <c r="E104" s="12" t="s">
        <v>160</v>
      </c>
      <c r="F104" s="12" t="s">
        <v>8</v>
      </c>
      <c r="G104" s="97" t="s">
        <v>6</v>
      </c>
      <c r="H104" s="12" t="s">
        <v>101</v>
      </c>
      <c r="I104" s="12" t="s">
        <v>119</v>
      </c>
      <c r="J104" s="12" t="s">
        <v>107</v>
      </c>
      <c r="K104" s="12"/>
      <c r="L104" s="12"/>
      <c r="M104" s="12"/>
      <c r="N104" s="12" t="s">
        <v>105</v>
      </c>
      <c r="O104" s="12" t="s">
        <v>105</v>
      </c>
      <c r="P104" s="12"/>
      <c r="Q104" s="12"/>
      <c r="R104" s="12"/>
      <c r="S104" s="12" t="s">
        <v>105</v>
      </c>
      <c r="T104" s="12" t="s">
        <v>105</v>
      </c>
      <c r="U104" s="12"/>
      <c r="V104" s="12"/>
      <c r="W104" s="12"/>
      <c r="X104" s="12"/>
      <c r="Y104" s="12"/>
      <c r="Z104" s="12" t="s">
        <v>105</v>
      </c>
      <c r="AA104" s="12"/>
      <c r="AB104" s="12"/>
      <c r="AC104" s="12"/>
      <c r="AD104" s="12"/>
      <c r="AE104" s="12"/>
      <c r="AF104" s="12" t="s">
        <v>122</v>
      </c>
      <c r="AG104" s="12"/>
      <c r="AH104" s="65"/>
      <c r="AI104" s="98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/>
      <c r="BB104" s="79"/>
      <c r="BC104" s="79"/>
      <c r="BD104" s="79"/>
      <c r="BE104" s="79"/>
      <c r="BF104" s="79"/>
      <c r="BG104" s="79"/>
      <c r="BH104" s="79"/>
      <c r="BI104" s="79"/>
      <c r="BJ104" s="79"/>
      <c r="BK104" s="79"/>
      <c r="BL104" s="79"/>
      <c r="BM104" s="79"/>
      <c r="BN104" s="79"/>
      <c r="BO104" s="79"/>
      <c r="BP104" s="79"/>
      <c r="BQ104" s="79"/>
      <c r="BR104" s="79"/>
      <c r="BS104" s="79"/>
      <c r="BT104" s="79"/>
      <c r="BU104" s="79"/>
      <c r="BV104" s="79"/>
      <c r="BW104" s="79"/>
      <c r="BX104" s="79"/>
      <c r="BY104" s="79"/>
      <c r="BZ104" s="79"/>
      <c r="CA104" s="79"/>
      <c r="CB104" s="79"/>
      <c r="CC104" s="79"/>
      <c r="CD104" s="79"/>
      <c r="CE104" s="79"/>
      <c r="CF104" s="79"/>
      <c r="CG104" s="79"/>
      <c r="CH104" s="79"/>
      <c r="CI104" s="79"/>
      <c r="CJ104" s="79"/>
      <c r="CK104" s="79"/>
      <c r="CL104" s="79"/>
      <c r="CM104" s="79"/>
      <c r="CN104" s="79"/>
      <c r="CO104" s="79"/>
      <c r="CP104" s="79"/>
      <c r="CQ104" s="79"/>
      <c r="CR104" s="79"/>
      <c r="CS104" s="79"/>
      <c r="CT104" s="79"/>
      <c r="CU104" s="79"/>
      <c r="CV104" s="79"/>
      <c r="CW104" s="79"/>
      <c r="CX104" s="79"/>
      <c r="CY104" s="79"/>
      <c r="CZ104" s="79"/>
      <c r="DA104" s="79"/>
      <c r="DB104" s="79"/>
      <c r="DC104" s="79"/>
      <c r="DD104" s="79"/>
      <c r="DE104" s="79"/>
      <c r="DF104" s="79"/>
    </row>
    <row r="105" spans="1:110" s="81" customFormat="1">
      <c r="A105" s="241" t="s">
        <v>95</v>
      </c>
      <c r="B105" s="31" t="s">
        <v>96</v>
      </c>
      <c r="C105" s="96" t="s">
        <v>97</v>
      </c>
      <c r="D105" s="12" t="s">
        <v>250</v>
      </c>
      <c r="E105" s="12" t="s">
        <v>160</v>
      </c>
      <c r="F105" s="12" t="s">
        <v>8</v>
      </c>
      <c r="G105" s="97" t="s">
        <v>6</v>
      </c>
      <c r="H105" s="12" t="s">
        <v>101</v>
      </c>
      <c r="I105" s="12" t="s">
        <v>119</v>
      </c>
      <c r="J105" s="12" t="s">
        <v>107</v>
      </c>
      <c r="K105" s="12"/>
      <c r="L105" s="12"/>
      <c r="M105" s="12"/>
      <c r="N105" s="12" t="s">
        <v>105</v>
      </c>
      <c r="O105" s="12"/>
      <c r="P105" s="12"/>
      <c r="Q105" s="12"/>
      <c r="R105" s="12"/>
      <c r="S105" s="12" t="s">
        <v>105</v>
      </c>
      <c r="T105" s="12" t="s">
        <v>105</v>
      </c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65"/>
      <c r="AI105" s="98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/>
      <c r="AY105" s="79"/>
      <c r="AZ105" s="79"/>
      <c r="BA105" s="79"/>
      <c r="BB105" s="79"/>
      <c r="BC105" s="79"/>
      <c r="BD105" s="79"/>
      <c r="BE105" s="79"/>
      <c r="BF105" s="79"/>
      <c r="BG105" s="79"/>
      <c r="BH105" s="79"/>
      <c r="BI105" s="79"/>
      <c r="BJ105" s="79"/>
      <c r="BK105" s="79"/>
      <c r="BL105" s="79"/>
      <c r="BM105" s="79"/>
      <c r="BN105" s="79"/>
      <c r="BO105" s="79"/>
      <c r="BP105" s="79"/>
      <c r="BQ105" s="79"/>
      <c r="BR105" s="79"/>
      <c r="BS105" s="79"/>
      <c r="BT105" s="79"/>
      <c r="BU105" s="79"/>
      <c r="BV105" s="79"/>
      <c r="BW105" s="79"/>
      <c r="BX105" s="79"/>
      <c r="BY105" s="79"/>
      <c r="BZ105" s="79"/>
      <c r="CA105" s="79"/>
      <c r="CB105" s="79"/>
      <c r="CC105" s="79"/>
      <c r="CD105" s="79"/>
      <c r="CE105" s="79"/>
      <c r="CF105" s="79"/>
      <c r="CG105" s="79"/>
      <c r="CH105" s="79"/>
      <c r="CI105" s="79"/>
      <c r="CJ105" s="79"/>
      <c r="CK105" s="79"/>
      <c r="CL105" s="79"/>
      <c r="CM105" s="79"/>
      <c r="CN105" s="79"/>
      <c r="CO105" s="79"/>
      <c r="CP105" s="79"/>
      <c r="CQ105" s="79"/>
      <c r="CR105" s="79"/>
      <c r="CS105" s="79"/>
      <c r="CT105" s="79"/>
      <c r="CU105" s="79"/>
      <c r="CV105" s="79"/>
      <c r="CW105" s="79"/>
      <c r="CX105" s="79"/>
      <c r="CY105" s="79"/>
      <c r="CZ105" s="79"/>
      <c r="DA105" s="79"/>
      <c r="DB105" s="79"/>
      <c r="DC105" s="79"/>
      <c r="DD105" s="79"/>
      <c r="DE105" s="79"/>
      <c r="DF105" s="79"/>
    </row>
    <row r="106" spans="1:110">
      <c r="A106" s="241" t="s">
        <v>95</v>
      </c>
      <c r="B106" s="31" t="s">
        <v>97</v>
      </c>
      <c r="C106" s="96" t="s">
        <v>97</v>
      </c>
      <c r="D106" s="12" t="s">
        <v>251</v>
      </c>
      <c r="E106" s="12" t="s">
        <v>160</v>
      </c>
      <c r="F106" s="12" t="s">
        <v>8</v>
      </c>
      <c r="G106" s="97" t="s">
        <v>6</v>
      </c>
      <c r="H106" s="12" t="s">
        <v>101</v>
      </c>
      <c r="I106" s="12" t="s">
        <v>119</v>
      </c>
      <c r="J106" s="12" t="s">
        <v>107</v>
      </c>
      <c r="K106" s="12"/>
      <c r="L106" s="12"/>
      <c r="M106" s="12"/>
      <c r="N106" s="12" t="s">
        <v>105</v>
      </c>
      <c r="O106" s="12"/>
      <c r="P106" s="12"/>
      <c r="Q106" s="12"/>
      <c r="R106" s="12"/>
      <c r="S106" s="12" t="s">
        <v>105</v>
      </c>
      <c r="T106" s="12" t="s">
        <v>105</v>
      </c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65"/>
      <c r="AI106" s="98"/>
    </row>
    <row r="107" spans="1:110">
      <c r="A107" s="241" t="s">
        <v>95</v>
      </c>
      <c r="B107" s="31" t="s">
        <v>96</v>
      </c>
      <c r="C107" s="96" t="s">
        <v>97</v>
      </c>
      <c r="D107" s="12" t="s">
        <v>252</v>
      </c>
      <c r="E107" s="12" t="s">
        <v>160</v>
      </c>
      <c r="F107" s="12" t="s">
        <v>8</v>
      </c>
      <c r="G107" s="97" t="s">
        <v>6</v>
      </c>
      <c r="H107" s="12" t="s">
        <v>101</v>
      </c>
      <c r="I107" s="12" t="s">
        <v>119</v>
      </c>
      <c r="J107" s="12" t="s">
        <v>107</v>
      </c>
      <c r="K107" s="12"/>
      <c r="L107" s="12"/>
      <c r="M107" s="12"/>
      <c r="N107" s="12" t="s">
        <v>105</v>
      </c>
      <c r="O107" s="12" t="s">
        <v>105</v>
      </c>
      <c r="P107" s="12"/>
      <c r="Q107" s="12"/>
      <c r="R107" s="12"/>
      <c r="S107" s="12" t="s">
        <v>105</v>
      </c>
      <c r="T107" s="12" t="s">
        <v>105</v>
      </c>
      <c r="U107" s="12"/>
      <c r="V107" s="12" t="s">
        <v>105</v>
      </c>
      <c r="W107" s="12"/>
      <c r="X107" s="12"/>
      <c r="Y107" s="12"/>
      <c r="Z107" s="12" t="s">
        <v>105</v>
      </c>
      <c r="AA107" s="12"/>
      <c r="AB107" s="12"/>
      <c r="AC107" s="12"/>
      <c r="AD107" s="12"/>
      <c r="AE107" s="12"/>
      <c r="AF107" s="12" t="s">
        <v>105</v>
      </c>
      <c r="AG107" s="12"/>
      <c r="AH107" s="65"/>
      <c r="AI107" s="98"/>
    </row>
    <row r="108" spans="1:110">
      <c r="A108" s="241" t="s">
        <v>95</v>
      </c>
      <c r="B108" s="31" t="s">
        <v>97</v>
      </c>
      <c r="C108" s="96" t="s">
        <v>97</v>
      </c>
      <c r="D108" s="12" t="s">
        <v>253</v>
      </c>
      <c r="E108" s="12" t="s">
        <v>160</v>
      </c>
      <c r="F108" s="12" t="s">
        <v>8</v>
      </c>
      <c r="G108" s="97" t="s">
        <v>6</v>
      </c>
      <c r="H108" s="12" t="s">
        <v>101</v>
      </c>
      <c r="I108" s="12" t="s">
        <v>119</v>
      </c>
      <c r="J108" s="12" t="s">
        <v>107</v>
      </c>
      <c r="K108" s="12"/>
      <c r="L108" s="12"/>
      <c r="M108" s="12"/>
      <c r="N108" s="12" t="s">
        <v>105</v>
      </c>
      <c r="O108" s="12"/>
      <c r="P108" s="12"/>
      <c r="Q108" s="12"/>
      <c r="R108" s="12"/>
      <c r="S108" s="12" t="s">
        <v>105</v>
      </c>
      <c r="T108" s="12" t="s">
        <v>105</v>
      </c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65"/>
      <c r="AI108" s="98"/>
    </row>
    <row r="109" spans="1:110">
      <c r="A109" s="241" t="s">
        <v>95</v>
      </c>
      <c r="B109" s="31" t="s">
        <v>96</v>
      </c>
      <c r="C109" s="96" t="s">
        <v>96</v>
      </c>
      <c r="D109" s="12" t="s">
        <v>254</v>
      </c>
      <c r="E109" s="12" t="s">
        <v>160</v>
      </c>
      <c r="F109" s="12" t="s">
        <v>8</v>
      </c>
      <c r="G109" s="97" t="s">
        <v>6</v>
      </c>
      <c r="H109" s="12" t="s">
        <v>101</v>
      </c>
      <c r="I109" s="12" t="s">
        <v>119</v>
      </c>
      <c r="J109" s="12" t="s">
        <v>107</v>
      </c>
      <c r="K109" s="12"/>
      <c r="L109" s="12"/>
      <c r="M109" s="12"/>
      <c r="N109" s="12" t="s">
        <v>105</v>
      </c>
      <c r="O109" s="12" t="s">
        <v>105</v>
      </c>
      <c r="P109" s="12" t="s">
        <v>105</v>
      </c>
      <c r="Q109" s="12"/>
      <c r="R109" s="12"/>
      <c r="S109" s="12" t="s">
        <v>105</v>
      </c>
      <c r="T109" s="12" t="s">
        <v>105</v>
      </c>
      <c r="U109" s="12" t="s">
        <v>105</v>
      </c>
      <c r="V109" s="12" t="s">
        <v>105</v>
      </c>
      <c r="W109" s="12"/>
      <c r="X109" s="12"/>
      <c r="Y109" s="12"/>
      <c r="Z109" s="12" t="s">
        <v>105</v>
      </c>
      <c r="AA109" s="12"/>
      <c r="AB109" s="12"/>
      <c r="AC109" s="12"/>
      <c r="AD109" s="12"/>
      <c r="AE109" s="12"/>
      <c r="AF109" s="12" t="s">
        <v>105</v>
      </c>
      <c r="AG109" s="12"/>
      <c r="AH109" s="65"/>
      <c r="AI109" s="98"/>
    </row>
    <row r="110" spans="1:110">
      <c r="A110" s="241" t="s">
        <v>95</v>
      </c>
      <c r="B110" s="31" t="s">
        <v>96</v>
      </c>
      <c r="C110" s="96" t="s">
        <v>96</v>
      </c>
      <c r="D110" s="12" t="s">
        <v>255</v>
      </c>
      <c r="E110" s="12" t="s">
        <v>160</v>
      </c>
      <c r="F110" s="12" t="s">
        <v>8</v>
      </c>
      <c r="G110" s="97" t="s">
        <v>6</v>
      </c>
      <c r="H110" s="12" t="s">
        <v>101</v>
      </c>
      <c r="I110" s="12" t="s">
        <v>119</v>
      </c>
      <c r="J110" s="12" t="s">
        <v>107</v>
      </c>
      <c r="K110" s="12"/>
      <c r="L110" s="12"/>
      <c r="M110" s="12"/>
      <c r="N110" s="12" t="s">
        <v>105</v>
      </c>
      <c r="O110" s="12" t="s">
        <v>105</v>
      </c>
      <c r="P110" s="12" t="s">
        <v>105</v>
      </c>
      <c r="Q110" s="12"/>
      <c r="R110" s="12"/>
      <c r="S110" s="12" t="s">
        <v>105</v>
      </c>
      <c r="T110" s="12" t="s">
        <v>105</v>
      </c>
      <c r="U110" s="12" t="s">
        <v>105</v>
      </c>
      <c r="V110" s="12" t="s">
        <v>105</v>
      </c>
      <c r="W110" s="12"/>
      <c r="X110" s="12"/>
      <c r="Y110" s="12" t="s">
        <v>105</v>
      </c>
      <c r="Z110" s="12" t="s">
        <v>105</v>
      </c>
      <c r="AA110" s="12"/>
      <c r="AB110" s="12"/>
      <c r="AC110" s="12"/>
      <c r="AD110" s="12"/>
      <c r="AE110" s="12"/>
      <c r="AF110" s="12" t="s">
        <v>105</v>
      </c>
      <c r="AG110" s="12"/>
      <c r="AH110" s="65"/>
      <c r="AI110" s="98"/>
    </row>
    <row r="111" spans="1:110">
      <c r="A111" s="241" t="s">
        <v>95</v>
      </c>
      <c r="B111" s="31" t="s">
        <v>96</v>
      </c>
      <c r="C111" s="96" t="s">
        <v>96</v>
      </c>
      <c r="D111" s="12" t="s">
        <v>256</v>
      </c>
      <c r="E111" s="12" t="s">
        <v>160</v>
      </c>
      <c r="F111" s="12" t="s">
        <v>8</v>
      </c>
      <c r="G111" s="97" t="s">
        <v>6</v>
      </c>
      <c r="H111" s="12" t="s">
        <v>101</v>
      </c>
      <c r="I111" s="12" t="s">
        <v>119</v>
      </c>
      <c r="J111" s="12" t="s">
        <v>107</v>
      </c>
      <c r="K111" s="12"/>
      <c r="L111" s="12"/>
      <c r="M111" s="12"/>
      <c r="N111" s="12" t="s">
        <v>105</v>
      </c>
      <c r="O111" s="12" t="s">
        <v>105</v>
      </c>
      <c r="P111" s="12" t="s">
        <v>105</v>
      </c>
      <c r="Q111" s="12"/>
      <c r="R111" s="12"/>
      <c r="S111" s="12" t="s">
        <v>105</v>
      </c>
      <c r="T111" s="12" t="s">
        <v>105</v>
      </c>
      <c r="U111" s="12"/>
      <c r="V111" s="12"/>
      <c r="W111" s="12"/>
      <c r="X111" s="12"/>
      <c r="Y111" s="12" t="s">
        <v>105</v>
      </c>
      <c r="Z111" s="12"/>
      <c r="AA111" s="12"/>
      <c r="AB111" s="12"/>
      <c r="AC111" s="12"/>
      <c r="AD111" s="12"/>
      <c r="AE111" s="12"/>
      <c r="AF111" s="12" t="s">
        <v>105</v>
      </c>
      <c r="AG111" s="12"/>
      <c r="AH111" s="65"/>
      <c r="AI111" s="98"/>
    </row>
    <row r="112" spans="1:110">
      <c r="A112" s="241" t="s">
        <v>95</v>
      </c>
      <c r="B112" s="31" t="s">
        <v>97</v>
      </c>
      <c r="C112" s="96" t="s">
        <v>97</v>
      </c>
      <c r="D112" s="12" t="s">
        <v>257</v>
      </c>
      <c r="E112" s="12" t="s">
        <v>160</v>
      </c>
      <c r="F112" s="12" t="s">
        <v>8</v>
      </c>
      <c r="G112" s="97" t="s">
        <v>6</v>
      </c>
      <c r="H112" s="12" t="s">
        <v>101</v>
      </c>
      <c r="I112" s="12" t="s">
        <v>119</v>
      </c>
      <c r="J112" s="12" t="s">
        <v>107</v>
      </c>
      <c r="K112" s="12"/>
      <c r="L112" s="12"/>
      <c r="M112" s="12"/>
      <c r="N112" s="12" t="s">
        <v>105</v>
      </c>
      <c r="O112" s="12"/>
      <c r="P112" s="12"/>
      <c r="Q112" s="12"/>
      <c r="R112" s="12"/>
      <c r="S112" s="12" t="s">
        <v>105</v>
      </c>
      <c r="T112" s="12" t="s">
        <v>105</v>
      </c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65"/>
      <c r="AI112" s="98"/>
    </row>
    <row r="113" spans="1:35">
      <c r="A113" s="241" t="s">
        <v>95</v>
      </c>
      <c r="B113" s="31" t="s">
        <v>96</v>
      </c>
      <c r="C113" s="96" t="s">
        <v>97</v>
      </c>
      <c r="D113" s="12" t="s">
        <v>258</v>
      </c>
      <c r="E113" s="12" t="s">
        <v>160</v>
      </c>
      <c r="F113" s="12" t="s">
        <v>8</v>
      </c>
      <c r="G113" s="97" t="s">
        <v>6</v>
      </c>
      <c r="H113" s="12" t="s">
        <v>101</v>
      </c>
      <c r="I113" s="12" t="s">
        <v>119</v>
      </c>
      <c r="J113" s="12" t="s">
        <v>107</v>
      </c>
      <c r="K113" s="12"/>
      <c r="L113" s="12"/>
      <c r="M113" s="12"/>
      <c r="N113" s="12"/>
      <c r="O113" s="12" t="s">
        <v>105</v>
      </c>
      <c r="P113" s="12"/>
      <c r="Q113" s="12"/>
      <c r="R113" s="12"/>
      <c r="S113" s="12"/>
      <c r="T113" s="12" t="s">
        <v>105</v>
      </c>
      <c r="U113" s="12" t="s">
        <v>105</v>
      </c>
      <c r="V113" s="12" t="s">
        <v>105</v>
      </c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65"/>
      <c r="AI113" s="98"/>
    </row>
    <row r="114" spans="1:35">
      <c r="A114" s="241" t="s">
        <v>95</v>
      </c>
      <c r="B114" s="31" t="s">
        <v>97</v>
      </c>
      <c r="C114" s="96" t="s">
        <v>97</v>
      </c>
      <c r="D114" s="12" t="s">
        <v>259</v>
      </c>
      <c r="E114" s="12" t="s">
        <v>160</v>
      </c>
      <c r="F114" s="12" t="s">
        <v>8</v>
      </c>
      <c r="G114" s="97" t="s">
        <v>6</v>
      </c>
      <c r="H114" s="12" t="s">
        <v>101</v>
      </c>
      <c r="I114" s="12" t="s">
        <v>112</v>
      </c>
      <c r="J114" s="12" t="s">
        <v>194</v>
      </c>
      <c r="K114" s="12"/>
      <c r="L114" s="12"/>
      <c r="M114" s="12"/>
      <c r="N114" s="12"/>
      <c r="O114" s="12"/>
      <c r="P114" s="12"/>
      <c r="Q114" s="12"/>
      <c r="R114" s="12"/>
      <c r="S114" s="12" t="s">
        <v>105</v>
      </c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65"/>
      <c r="AI114" s="98"/>
    </row>
    <row r="115" spans="1:35">
      <c r="A115" s="241" t="s">
        <v>95</v>
      </c>
      <c r="B115" s="31" t="s">
        <v>96</v>
      </c>
      <c r="C115" s="96" t="s">
        <v>97</v>
      </c>
      <c r="D115" s="12" t="s">
        <v>260</v>
      </c>
      <c r="E115" s="12" t="s">
        <v>160</v>
      </c>
      <c r="F115" s="12" t="s">
        <v>8</v>
      </c>
      <c r="G115" s="97" t="s">
        <v>6</v>
      </c>
      <c r="H115" s="12" t="s">
        <v>101</v>
      </c>
      <c r="I115" s="12" t="s">
        <v>119</v>
      </c>
      <c r="J115" s="12" t="s">
        <v>107</v>
      </c>
      <c r="K115" s="12"/>
      <c r="L115" s="12"/>
      <c r="M115" s="12"/>
      <c r="N115" s="12"/>
      <c r="O115" s="12"/>
      <c r="P115" s="12"/>
      <c r="Q115" s="12"/>
      <c r="R115" s="12"/>
      <c r="S115" s="12" t="s">
        <v>105</v>
      </c>
      <c r="T115" s="12" t="s">
        <v>105</v>
      </c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65"/>
      <c r="AI115" s="98"/>
    </row>
    <row r="116" spans="1:35" ht="30">
      <c r="A116" s="12" t="s">
        <v>95</v>
      </c>
      <c r="B116" s="31" t="s">
        <v>97</v>
      </c>
      <c r="C116" s="96" t="s">
        <v>97</v>
      </c>
      <c r="D116" s="12" t="s">
        <v>261</v>
      </c>
      <c r="E116" s="12" t="s">
        <v>204</v>
      </c>
      <c r="F116" s="12" t="s">
        <v>8</v>
      </c>
      <c r="G116" s="97" t="s">
        <v>6</v>
      </c>
      <c r="H116" s="12" t="s">
        <v>236</v>
      </c>
      <c r="I116" s="12" t="s">
        <v>112</v>
      </c>
      <c r="J116" s="12" t="s">
        <v>107</v>
      </c>
      <c r="K116" s="12"/>
      <c r="L116" s="12"/>
      <c r="M116" s="12"/>
      <c r="N116" s="12" t="s">
        <v>105</v>
      </c>
      <c r="O116" s="12"/>
      <c r="P116" s="12"/>
      <c r="Q116" s="12"/>
      <c r="R116" s="12"/>
      <c r="S116" s="12"/>
      <c r="T116" s="12" t="s">
        <v>105</v>
      </c>
      <c r="U116" s="12"/>
      <c r="V116" s="12"/>
      <c r="W116" s="12"/>
      <c r="X116" s="12"/>
      <c r="Y116" s="12"/>
      <c r="Z116" s="12"/>
      <c r="AA116" s="12"/>
      <c r="AB116" s="12"/>
      <c r="AC116" s="12"/>
      <c r="AD116" s="12" t="s">
        <v>105</v>
      </c>
      <c r="AE116" s="12"/>
      <c r="AF116" s="12"/>
      <c r="AG116" s="12"/>
      <c r="AH116" s="65"/>
      <c r="AI116" s="98"/>
    </row>
    <row r="117" spans="1:35" ht="30">
      <c r="A117" s="12" t="s">
        <v>95</v>
      </c>
      <c r="B117" s="31" t="s">
        <v>97</v>
      </c>
      <c r="C117" s="96" t="s">
        <v>97</v>
      </c>
      <c r="D117" s="12" t="s">
        <v>262</v>
      </c>
      <c r="E117" s="12" t="s">
        <v>226</v>
      </c>
      <c r="F117" s="12" t="s">
        <v>111</v>
      </c>
      <c r="G117" s="97" t="s">
        <v>6</v>
      </c>
      <c r="H117" s="12" t="s">
        <v>101</v>
      </c>
      <c r="I117" s="12" t="s">
        <v>119</v>
      </c>
      <c r="J117" s="12" t="s">
        <v>107</v>
      </c>
      <c r="K117" s="12"/>
      <c r="L117" s="12"/>
      <c r="M117" s="12"/>
      <c r="N117" s="12" t="s">
        <v>105</v>
      </c>
      <c r="O117" s="12" t="s">
        <v>105</v>
      </c>
      <c r="P117" s="12" t="s">
        <v>105</v>
      </c>
      <c r="Q117" s="12"/>
      <c r="R117" s="12"/>
      <c r="S117" s="12" t="s">
        <v>105</v>
      </c>
      <c r="T117" s="12" t="s">
        <v>105</v>
      </c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65"/>
      <c r="AI117" s="98"/>
    </row>
    <row r="118" spans="1:35" ht="30">
      <c r="A118" s="241" t="s">
        <v>95</v>
      </c>
      <c r="B118" s="31" t="s">
        <v>96</v>
      </c>
      <c r="C118" s="96" t="s">
        <v>96</v>
      </c>
      <c r="D118" s="12" t="s">
        <v>263</v>
      </c>
      <c r="E118" s="12" t="s">
        <v>99</v>
      </c>
      <c r="F118" s="12" t="s">
        <v>8</v>
      </c>
      <c r="G118" s="97" t="s">
        <v>6</v>
      </c>
      <c r="H118" s="12" t="s">
        <v>101</v>
      </c>
      <c r="I118" s="12" t="s">
        <v>119</v>
      </c>
      <c r="J118" s="12" t="s">
        <v>114</v>
      </c>
      <c r="K118" s="12"/>
      <c r="L118" s="12"/>
      <c r="M118" s="12"/>
      <c r="N118" s="12" t="s">
        <v>105</v>
      </c>
      <c r="O118" s="12"/>
      <c r="P118" s="12"/>
      <c r="Q118" s="12"/>
      <c r="R118" s="12"/>
      <c r="S118" s="12" t="s">
        <v>105</v>
      </c>
      <c r="T118" s="12" t="s">
        <v>105</v>
      </c>
      <c r="U118" s="12"/>
      <c r="V118" s="12"/>
      <c r="W118" s="12"/>
      <c r="X118" s="12"/>
      <c r="Y118" s="12"/>
      <c r="Z118" s="12" t="s">
        <v>105</v>
      </c>
      <c r="AA118" s="12"/>
      <c r="AB118" s="12"/>
      <c r="AC118" s="12"/>
      <c r="AD118" s="12"/>
      <c r="AE118" s="12"/>
      <c r="AF118" s="12"/>
      <c r="AG118" s="12"/>
      <c r="AH118" s="65"/>
      <c r="AI118" s="98"/>
    </row>
    <row r="119" spans="1:35">
      <c r="A119" s="241" t="s">
        <v>95</v>
      </c>
      <c r="B119" s="31" t="s">
        <v>96</v>
      </c>
      <c r="C119" s="96" t="s">
        <v>96</v>
      </c>
      <c r="D119" s="12" t="s">
        <v>264</v>
      </c>
      <c r="E119" s="12" t="s">
        <v>160</v>
      </c>
      <c r="F119" s="12" t="s">
        <v>8</v>
      </c>
      <c r="G119" s="97" t="s">
        <v>6</v>
      </c>
      <c r="H119" s="12" t="s">
        <v>101</v>
      </c>
      <c r="I119" s="12" t="s">
        <v>119</v>
      </c>
      <c r="J119" s="12" t="s">
        <v>107</v>
      </c>
      <c r="K119" s="12"/>
      <c r="L119" s="12"/>
      <c r="M119" s="12"/>
      <c r="N119" s="12" t="s">
        <v>105</v>
      </c>
      <c r="O119" s="12"/>
      <c r="P119" s="12"/>
      <c r="Q119" s="12"/>
      <c r="R119" s="12"/>
      <c r="S119" s="12" t="s">
        <v>105</v>
      </c>
      <c r="T119" s="12" t="s">
        <v>105</v>
      </c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65"/>
      <c r="AI119" s="98"/>
    </row>
    <row r="120" spans="1:35">
      <c r="A120" s="241" t="s">
        <v>95</v>
      </c>
      <c r="B120" s="31" t="s">
        <v>97</v>
      </c>
      <c r="C120" s="96" t="s">
        <v>97</v>
      </c>
      <c r="D120" s="12" t="s">
        <v>265</v>
      </c>
      <c r="E120" s="12" t="s">
        <v>160</v>
      </c>
      <c r="F120" s="12" t="s">
        <v>8</v>
      </c>
      <c r="G120" s="97" t="s">
        <v>6</v>
      </c>
      <c r="H120" s="12" t="s">
        <v>101</v>
      </c>
      <c r="I120" s="12" t="s">
        <v>119</v>
      </c>
      <c r="J120" s="12" t="s">
        <v>107</v>
      </c>
      <c r="K120" s="12"/>
      <c r="L120" s="12"/>
      <c r="M120" s="12"/>
      <c r="N120" s="12" t="s">
        <v>105</v>
      </c>
      <c r="O120" s="12"/>
      <c r="P120" s="12"/>
      <c r="Q120" s="12"/>
      <c r="R120" s="12"/>
      <c r="S120" s="12" t="s">
        <v>105</v>
      </c>
      <c r="T120" s="12" t="s">
        <v>105</v>
      </c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65"/>
      <c r="AI120" s="98"/>
    </row>
    <row r="121" spans="1:35">
      <c r="A121" s="241" t="s">
        <v>95</v>
      </c>
      <c r="B121" s="31" t="s">
        <v>96</v>
      </c>
      <c r="C121" s="96" t="s">
        <v>97</v>
      </c>
      <c r="D121" s="12" t="s">
        <v>266</v>
      </c>
      <c r="E121" s="12" t="s">
        <v>160</v>
      </c>
      <c r="F121" s="12" t="s">
        <v>8</v>
      </c>
      <c r="G121" s="97" t="s">
        <v>6</v>
      </c>
      <c r="H121" s="12" t="s">
        <v>101</v>
      </c>
      <c r="I121" s="12" t="s">
        <v>119</v>
      </c>
      <c r="J121" s="12" t="s">
        <v>107</v>
      </c>
      <c r="K121" s="12"/>
      <c r="L121" s="12"/>
      <c r="M121" s="12"/>
      <c r="N121" s="12" t="s">
        <v>105</v>
      </c>
      <c r="O121" s="12"/>
      <c r="P121" s="12"/>
      <c r="Q121" s="12"/>
      <c r="R121" s="12"/>
      <c r="S121" s="12" t="s">
        <v>105</v>
      </c>
      <c r="T121" s="12" t="s">
        <v>105</v>
      </c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 t="s">
        <v>105</v>
      </c>
      <c r="AG121" s="12"/>
      <c r="AH121" s="65"/>
      <c r="AI121" s="98"/>
    </row>
    <row r="122" spans="1:35">
      <c r="A122" s="12"/>
      <c r="B122" s="31" t="s">
        <v>97</v>
      </c>
      <c r="C122" s="96" t="s">
        <v>97</v>
      </c>
      <c r="D122" s="12" t="s">
        <v>267</v>
      </c>
      <c r="E122" s="12"/>
      <c r="F122" s="12" t="s">
        <v>100</v>
      </c>
      <c r="G122" s="97" t="s">
        <v>6</v>
      </c>
      <c r="H122" s="65" t="s">
        <v>145</v>
      </c>
      <c r="I122" s="12" t="s">
        <v>119</v>
      </c>
      <c r="J122" s="12" t="s">
        <v>194</v>
      </c>
      <c r="K122" s="65" t="s">
        <v>146</v>
      </c>
      <c r="L122" s="12"/>
      <c r="M122" s="12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98"/>
    </row>
    <row r="123" spans="1:35">
      <c r="A123" s="12" t="s">
        <v>142</v>
      </c>
      <c r="B123" s="31" t="s">
        <v>97</v>
      </c>
      <c r="C123" s="96" t="s">
        <v>97</v>
      </c>
      <c r="D123" s="12" t="s">
        <v>268</v>
      </c>
      <c r="E123" s="12" t="s">
        <v>144</v>
      </c>
      <c r="F123" s="12" t="s">
        <v>100</v>
      </c>
      <c r="G123" s="97" t="s">
        <v>6</v>
      </c>
      <c r="H123" s="12" t="s">
        <v>101</v>
      </c>
      <c r="I123" s="12" t="s">
        <v>119</v>
      </c>
      <c r="J123" s="12" t="s">
        <v>107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65"/>
      <c r="AI123" s="98"/>
    </row>
    <row r="124" spans="1:35">
      <c r="A124" s="12"/>
      <c r="B124" s="31" t="s">
        <v>97</v>
      </c>
      <c r="C124" s="96" t="s">
        <v>96</v>
      </c>
      <c r="D124" s="12" t="s">
        <v>269</v>
      </c>
      <c r="E124" s="12" t="s">
        <v>154</v>
      </c>
      <c r="F124" s="12" t="s">
        <v>100</v>
      </c>
      <c r="G124" s="97" t="s">
        <v>6</v>
      </c>
      <c r="H124" s="12" t="s">
        <v>101</v>
      </c>
      <c r="I124" s="12" t="s">
        <v>119</v>
      </c>
      <c r="J124" s="12" t="s">
        <v>107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65"/>
      <c r="AI124" s="98"/>
    </row>
    <row r="125" spans="1:35" ht="30">
      <c r="A125" s="241" t="s">
        <v>95</v>
      </c>
      <c r="B125" s="31" t="s">
        <v>96</v>
      </c>
      <c r="C125" s="96" t="s">
        <v>97</v>
      </c>
      <c r="D125" s="12" t="s">
        <v>270</v>
      </c>
      <c r="E125" s="12" t="s">
        <v>99</v>
      </c>
      <c r="F125" s="12" t="s">
        <v>100</v>
      </c>
      <c r="G125" s="97" t="s">
        <v>6</v>
      </c>
      <c r="H125" s="12" t="s">
        <v>101</v>
      </c>
      <c r="I125" s="12" t="s">
        <v>119</v>
      </c>
      <c r="J125" s="12" t="s">
        <v>107</v>
      </c>
      <c r="K125" s="12"/>
      <c r="L125" s="12"/>
      <c r="M125" s="12"/>
      <c r="N125" s="12" t="s">
        <v>105</v>
      </c>
      <c r="O125" s="12"/>
      <c r="P125" s="12"/>
      <c r="Q125" s="12"/>
      <c r="R125" s="12"/>
      <c r="S125" s="12" t="s">
        <v>105</v>
      </c>
      <c r="T125" s="12" t="s">
        <v>105</v>
      </c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65"/>
      <c r="AI125" s="98"/>
    </row>
    <row r="126" spans="1:35">
      <c r="A126" s="12" t="s">
        <v>142</v>
      </c>
      <c r="B126" s="31" t="s">
        <v>97</v>
      </c>
      <c r="C126" s="96" t="s">
        <v>97</v>
      </c>
      <c r="D126" s="12" t="s">
        <v>271</v>
      </c>
      <c r="E126" s="12" t="s">
        <v>144</v>
      </c>
      <c r="F126" s="12" t="s">
        <v>100</v>
      </c>
      <c r="G126" s="97" t="s">
        <v>6</v>
      </c>
      <c r="H126" s="12" t="s">
        <v>101</v>
      </c>
      <c r="I126" s="12" t="s">
        <v>119</v>
      </c>
      <c r="J126" s="12" t="s">
        <v>107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65"/>
      <c r="AI126" s="98"/>
    </row>
    <row r="127" spans="1:35">
      <c r="A127" s="12"/>
      <c r="B127" s="31" t="s">
        <v>97</v>
      </c>
      <c r="C127" s="96" t="s">
        <v>97</v>
      </c>
      <c r="D127" s="12" t="s">
        <v>272</v>
      </c>
      <c r="E127" s="12"/>
      <c r="F127" s="12" t="s">
        <v>202</v>
      </c>
      <c r="G127" s="97" t="s">
        <v>6</v>
      </c>
      <c r="H127" s="65" t="s">
        <v>145</v>
      </c>
      <c r="I127" s="12" t="s">
        <v>119</v>
      </c>
      <c r="J127" s="12" t="s">
        <v>107</v>
      </c>
      <c r="K127" s="12"/>
      <c r="L127" s="65"/>
      <c r="M127" s="12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98"/>
    </row>
    <row r="128" spans="1:35" ht="30">
      <c r="A128" s="12" t="s">
        <v>95</v>
      </c>
      <c r="B128" s="31" t="s">
        <v>97</v>
      </c>
      <c r="C128" s="96" t="s">
        <v>97</v>
      </c>
      <c r="D128" s="12" t="s">
        <v>273</v>
      </c>
      <c r="E128" s="12" t="s">
        <v>144</v>
      </c>
      <c r="F128" s="12" t="s">
        <v>100</v>
      </c>
      <c r="G128" s="97" t="s">
        <v>6</v>
      </c>
      <c r="H128" s="12" t="s">
        <v>101</v>
      </c>
      <c r="I128" s="12" t="s">
        <v>119</v>
      </c>
      <c r="J128" s="12" t="s">
        <v>114</v>
      </c>
      <c r="K128" s="12"/>
      <c r="L128" s="12"/>
      <c r="M128" s="12"/>
      <c r="N128" s="12"/>
      <c r="O128" s="12"/>
      <c r="P128" s="12"/>
      <c r="Q128" s="12"/>
      <c r="R128" s="12"/>
      <c r="S128" s="12" t="s">
        <v>105</v>
      </c>
      <c r="T128" s="12" t="s">
        <v>122</v>
      </c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65"/>
      <c r="AI128" s="98"/>
    </row>
    <row r="129" spans="1:35" ht="30">
      <c r="A129" s="12" t="s">
        <v>95</v>
      </c>
      <c r="B129" s="31" t="s">
        <v>97</v>
      </c>
      <c r="C129" s="96" t="s">
        <v>97</v>
      </c>
      <c r="D129" s="12" t="s">
        <v>274</v>
      </c>
      <c r="E129" s="12" t="s">
        <v>144</v>
      </c>
      <c r="F129" s="12" t="s">
        <v>100</v>
      </c>
      <c r="G129" s="97" t="s">
        <v>6</v>
      </c>
      <c r="H129" s="12" t="s">
        <v>101</v>
      </c>
      <c r="I129" s="12" t="s">
        <v>119</v>
      </c>
      <c r="J129" s="12" t="s">
        <v>114</v>
      </c>
      <c r="K129" s="12"/>
      <c r="L129" s="12"/>
      <c r="M129" s="12"/>
      <c r="N129" s="12"/>
      <c r="O129" s="12"/>
      <c r="P129" s="12"/>
      <c r="Q129" s="12"/>
      <c r="R129" s="12"/>
      <c r="S129" s="12" t="s">
        <v>105</v>
      </c>
      <c r="T129" s="12" t="s">
        <v>122</v>
      </c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65"/>
      <c r="AI129" s="98"/>
    </row>
    <row r="130" spans="1:35" ht="30">
      <c r="A130" s="12" t="s">
        <v>95</v>
      </c>
      <c r="B130" s="31" t="s">
        <v>97</v>
      </c>
      <c r="C130" s="96" t="s">
        <v>97</v>
      </c>
      <c r="D130" s="12" t="s">
        <v>275</v>
      </c>
      <c r="E130" s="12" t="s">
        <v>144</v>
      </c>
      <c r="F130" s="12" t="s">
        <v>100</v>
      </c>
      <c r="G130" s="97" t="s">
        <v>6</v>
      </c>
      <c r="H130" s="12" t="s">
        <v>101</v>
      </c>
      <c r="I130" s="12" t="s">
        <v>119</v>
      </c>
      <c r="J130" s="12" t="s">
        <v>114</v>
      </c>
      <c r="K130" s="12"/>
      <c r="L130" s="12"/>
      <c r="M130" s="12"/>
      <c r="N130" s="12"/>
      <c r="O130" s="12"/>
      <c r="P130" s="12"/>
      <c r="Q130" s="12"/>
      <c r="R130" s="12"/>
      <c r="S130" s="12" t="s">
        <v>105</v>
      </c>
      <c r="T130" s="12" t="s">
        <v>122</v>
      </c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65"/>
      <c r="AI130" s="98"/>
    </row>
    <row r="131" spans="1:35">
      <c r="A131" s="12" t="s">
        <v>95</v>
      </c>
      <c r="B131" s="31" t="s">
        <v>97</v>
      </c>
      <c r="C131" s="96" t="s">
        <v>97</v>
      </c>
      <c r="D131" s="12" t="s">
        <v>276</v>
      </c>
      <c r="E131" s="12" t="s">
        <v>144</v>
      </c>
      <c r="F131" s="12" t="s">
        <v>100</v>
      </c>
      <c r="G131" s="97" t="s">
        <v>6</v>
      </c>
      <c r="H131" s="12" t="s">
        <v>101</v>
      </c>
      <c r="I131" s="12" t="s">
        <v>119</v>
      </c>
      <c r="J131" s="12" t="s">
        <v>107</v>
      </c>
      <c r="K131" s="12"/>
      <c r="L131" s="12"/>
      <c r="M131" s="12"/>
      <c r="N131" s="12"/>
      <c r="O131" s="12" t="s">
        <v>105</v>
      </c>
      <c r="P131" s="12" t="s">
        <v>105</v>
      </c>
      <c r="Q131" s="12"/>
      <c r="R131" s="12"/>
      <c r="S131" s="12" t="s">
        <v>105</v>
      </c>
      <c r="T131" s="12" t="s">
        <v>105</v>
      </c>
      <c r="U131" s="12"/>
      <c r="V131" s="12"/>
      <c r="W131" s="12"/>
      <c r="X131" s="12"/>
      <c r="Y131" s="12" t="s">
        <v>105</v>
      </c>
      <c r="Z131" s="12"/>
      <c r="AA131" s="12"/>
      <c r="AB131" s="12"/>
      <c r="AC131" s="12"/>
      <c r="AD131" s="12"/>
      <c r="AE131" s="12" t="s">
        <v>105</v>
      </c>
      <c r="AF131" s="12"/>
      <c r="AG131" s="12"/>
      <c r="AH131" s="65"/>
      <c r="AI131" s="98"/>
    </row>
    <row r="132" spans="1:35" ht="30">
      <c r="A132" s="12" t="s">
        <v>95</v>
      </c>
      <c r="B132" s="31" t="s">
        <v>97</v>
      </c>
      <c r="C132" s="96" t="s">
        <v>97</v>
      </c>
      <c r="D132" s="12" t="s">
        <v>277</v>
      </c>
      <c r="E132" s="12" t="s">
        <v>144</v>
      </c>
      <c r="F132" s="12" t="s">
        <v>100</v>
      </c>
      <c r="G132" s="97" t="s">
        <v>6</v>
      </c>
      <c r="H132" s="12" t="s">
        <v>101</v>
      </c>
      <c r="I132" s="12" t="s">
        <v>119</v>
      </c>
      <c r="J132" s="12" t="s">
        <v>114</v>
      </c>
      <c r="K132" s="12"/>
      <c r="L132" s="12"/>
      <c r="M132" s="12"/>
      <c r="N132" s="12"/>
      <c r="O132" s="12"/>
      <c r="P132" s="12"/>
      <c r="Q132" s="12"/>
      <c r="R132" s="12"/>
      <c r="S132" s="12" t="s">
        <v>105</v>
      </c>
      <c r="T132" s="12" t="s">
        <v>122</v>
      </c>
      <c r="U132" s="12"/>
      <c r="V132" s="12"/>
      <c r="W132" s="12"/>
      <c r="X132" s="12"/>
      <c r="Y132" s="12"/>
      <c r="Z132" s="12"/>
      <c r="AA132" s="12"/>
      <c r="AB132" s="12"/>
      <c r="AC132" s="12" t="s">
        <v>122</v>
      </c>
      <c r="AD132" s="12"/>
      <c r="AE132" s="12"/>
      <c r="AF132" s="12"/>
      <c r="AG132" s="12"/>
      <c r="AH132" s="65"/>
      <c r="AI132" s="98"/>
    </row>
    <row r="133" spans="1:35">
      <c r="A133" s="12" t="s">
        <v>95</v>
      </c>
      <c r="B133" s="31" t="s">
        <v>97</v>
      </c>
      <c r="C133" s="96" t="s">
        <v>97</v>
      </c>
      <c r="D133" s="12" t="s">
        <v>278</v>
      </c>
      <c r="E133" s="12" t="s">
        <v>144</v>
      </c>
      <c r="F133" s="12" t="s">
        <v>100</v>
      </c>
      <c r="G133" s="97" t="s">
        <v>6</v>
      </c>
      <c r="H133" s="12" t="s">
        <v>101</v>
      </c>
      <c r="I133" s="12" t="s">
        <v>119</v>
      </c>
      <c r="J133" s="12" t="s">
        <v>107</v>
      </c>
      <c r="K133" s="12"/>
      <c r="L133" s="12"/>
      <c r="M133" s="12"/>
      <c r="N133" s="12"/>
      <c r="O133" s="12" t="s">
        <v>105</v>
      </c>
      <c r="P133" s="12"/>
      <c r="Q133" s="12"/>
      <c r="R133" s="12"/>
      <c r="S133" s="12" t="s">
        <v>105</v>
      </c>
      <c r="T133" s="12" t="s">
        <v>105</v>
      </c>
      <c r="U133" s="12"/>
      <c r="V133" s="12"/>
      <c r="W133" s="12"/>
      <c r="X133" s="12"/>
      <c r="Y133" s="12" t="s">
        <v>105</v>
      </c>
      <c r="Z133" s="12"/>
      <c r="AA133" s="12"/>
      <c r="AB133" s="12"/>
      <c r="AC133" s="12"/>
      <c r="AD133" s="12"/>
      <c r="AE133" s="12" t="s">
        <v>105</v>
      </c>
      <c r="AF133" s="12"/>
      <c r="AG133" s="12"/>
      <c r="AH133" s="65"/>
      <c r="AI133" s="98"/>
    </row>
    <row r="134" spans="1:35">
      <c r="A134" s="12" t="s">
        <v>95</v>
      </c>
      <c r="B134" s="31" t="s">
        <v>97</v>
      </c>
      <c r="C134" s="96" t="s">
        <v>97</v>
      </c>
      <c r="D134" s="12" t="s">
        <v>279</v>
      </c>
      <c r="E134" s="12" t="s">
        <v>144</v>
      </c>
      <c r="F134" s="12" t="s">
        <v>100</v>
      </c>
      <c r="G134" s="97" t="s">
        <v>6</v>
      </c>
      <c r="H134" s="12" t="s">
        <v>101</v>
      </c>
      <c r="I134" s="12" t="s">
        <v>119</v>
      </c>
      <c r="J134" s="12" t="s">
        <v>107</v>
      </c>
      <c r="K134" s="12"/>
      <c r="L134" s="12"/>
      <c r="M134" s="12"/>
      <c r="N134" s="12"/>
      <c r="O134" s="12" t="s">
        <v>105</v>
      </c>
      <c r="P134" s="12"/>
      <c r="Q134" s="12"/>
      <c r="R134" s="12"/>
      <c r="S134" s="12" t="s">
        <v>105</v>
      </c>
      <c r="T134" s="12" t="s">
        <v>105</v>
      </c>
      <c r="U134" s="12"/>
      <c r="V134" s="12"/>
      <c r="W134" s="12"/>
      <c r="X134" s="12"/>
      <c r="Y134" s="12" t="s">
        <v>105</v>
      </c>
      <c r="Z134" s="12"/>
      <c r="AA134" s="12"/>
      <c r="AB134" s="12"/>
      <c r="AC134" s="12"/>
      <c r="AD134" s="12"/>
      <c r="AE134" s="12" t="s">
        <v>105</v>
      </c>
      <c r="AF134" s="12"/>
      <c r="AG134" s="12"/>
      <c r="AH134" s="65"/>
      <c r="AI134" s="98"/>
    </row>
    <row r="135" spans="1:35">
      <c r="A135" s="12" t="s">
        <v>95</v>
      </c>
      <c r="B135" s="31" t="s">
        <v>97</v>
      </c>
      <c r="C135" s="96" t="s">
        <v>97</v>
      </c>
      <c r="D135" s="12" t="s">
        <v>280</v>
      </c>
      <c r="E135" s="12" t="s">
        <v>144</v>
      </c>
      <c r="F135" s="12" t="s">
        <v>100</v>
      </c>
      <c r="G135" s="97" t="s">
        <v>6</v>
      </c>
      <c r="H135" s="12" t="s">
        <v>145</v>
      </c>
      <c r="I135" s="12" t="s">
        <v>119</v>
      </c>
      <c r="J135" s="12" t="s">
        <v>107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65"/>
      <c r="AI135" s="98"/>
    </row>
    <row r="136" spans="1:35">
      <c r="A136" s="12" t="s">
        <v>95</v>
      </c>
      <c r="B136" s="31" t="s">
        <v>97</v>
      </c>
      <c r="C136" s="96" t="s">
        <v>97</v>
      </c>
      <c r="D136" s="12" t="s">
        <v>281</v>
      </c>
      <c r="E136" s="12" t="s">
        <v>144</v>
      </c>
      <c r="F136" s="12" t="s">
        <v>100</v>
      </c>
      <c r="G136" s="97" t="s">
        <v>6</v>
      </c>
      <c r="H136" s="12" t="s">
        <v>145</v>
      </c>
      <c r="I136" s="12" t="s">
        <v>119</v>
      </c>
      <c r="J136" s="12" t="s">
        <v>107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65"/>
      <c r="AI136" s="98"/>
    </row>
    <row r="137" spans="1:35">
      <c r="A137" s="12" t="s">
        <v>95</v>
      </c>
      <c r="B137" s="31" t="s">
        <v>97</v>
      </c>
      <c r="C137" s="96" t="s">
        <v>97</v>
      </c>
      <c r="D137" s="12" t="s">
        <v>282</v>
      </c>
      <c r="E137" s="12" t="s">
        <v>144</v>
      </c>
      <c r="F137" s="12" t="s">
        <v>100</v>
      </c>
      <c r="G137" s="97" t="s">
        <v>6</v>
      </c>
      <c r="H137" s="12" t="s">
        <v>101</v>
      </c>
      <c r="I137" s="12" t="s">
        <v>112</v>
      </c>
      <c r="J137" s="12" t="s">
        <v>107</v>
      </c>
      <c r="K137" s="12"/>
      <c r="L137" s="12"/>
      <c r="M137" s="12"/>
      <c r="N137" s="12" t="s">
        <v>122</v>
      </c>
      <c r="O137" s="12"/>
      <c r="P137" s="12" t="s">
        <v>105</v>
      </c>
      <c r="Q137" s="12"/>
      <c r="R137" s="12"/>
      <c r="S137" s="12" t="s">
        <v>105</v>
      </c>
      <c r="T137" s="12" t="s">
        <v>105</v>
      </c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65"/>
      <c r="AI137" s="98"/>
    </row>
    <row r="138" spans="1:35">
      <c r="A138" s="12" t="s">
        <v>95</v>
      </c>
      <c r="B138" s="31" t="s">
        <v>97</v>
      </c>
      <c r="C138" s="96" t="s">
        <v>97</v>
      </c>
      <c r="D138" s="12" t="s">
        <v>283</v>
      </c>
      <c r="E138" s="12" t="s">
        <v>144</v>
      </c>
      <c r="F138" s="12" t="s">
        <v>100</v>
      </c>
      <c r="G138" s="97" t="s">
        <v>6</v>
      </c>
      <c r="H138" s="12" t="s">
        <v>101</v>
      </c>
      <c r="I138" s="12" t="s">
        <v>112</v>
      </c>
      <c r="J138" s="12" t="s">
        <v>107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65"/>
      <c r="AI138" s="98"/>
    </row>
    <row r="139" spans="1:35">
      <c r="A139" s="12" t="s">
        <v>95</v>
      </c>
      <c r="B139" s="31" t="s">
        <v>97</v>
      </c>
      <c r="C139" s="96" t="s">
        <v>97</v>
      </c>
      <c r="D139" s="12" t="s">
        <v>284</v>
      </c>
      <c r="E139" s="12" t="s">
        <v>144</v>
      </c>
      <c r="F139" s="12" t="s">
        <v>100</v>
      </c>
      <c r="G139" s="97" t="s">
        <v>6</v>
      </c>
      <c r="H139" s="12" t="s">
        <v>101</v>
      </c>
      <c r="I139" s="12" t="s">
        <v>112</v>
      </c>
      <c r="J139" s="12" t="s">
        <v>107</v>
      </c>
      <c r="K139" s="12"/>
      <c r="L139" s="12"/>
      <c r="M139" s="12"/>
      <c r="N139" s="12" t="s">
        <v>122</v>
      </c>
      <c r="O139" s="12"/>
      <c r="P139" s="12" t="s">
        <v>105</v>
      </c>
      <c r="Q139" s="12"/>
      <c r="R139" s="12"/>
      <c r="S139" s="12" t="s">
        <v>105</v>
      </c>
      <c r="T139" s="12" t="s">
        <v>105</v>
      </c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65"/>
      <c r="AI139" s="98"/>
    </row>
    <row r="140" spans="1:35">
      <c r="A140" s="12"/>
      <c r="B140" s="31" t="s">
        <v>97</v>
      </c>
      <c r="C140" s="96" t="s">
        <v>97</v>
      </c>
      <c r="D140" s="12" t="s">
        <v>285</v>
      </c>
      <c r="E140" s="12"/>
      <c r="F140" s="12" t="s">
        <v>100</v>
      </c>
      <c r="G140" s="97" t="s">
        <v>6</v>
      </c>
      <c r="H140" s="65" t="s">
        <v>145</v>
      </c>
      <c r="I140" s="12" t="s">
        <v>119</v>
      </c>
      <c r="J140" s="12" t="s">
        <v>107</v>
      </c>
      <c r="K140" s="12"/>
      <c r="L140" s="65"/>
      <c r="M140" s="12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98"/>
    </row>
    <row r="141" spans="1:35">
      <c r="A141" s="241" t="s">
        <v>95</v>
      </c>
      <c r="B141" s="31" t="s">
        <v>96</v>
      </c>
      <c r="C141" s="96" t="s">
        <v>97</v>
      </c>
      <c r="D141" s="12" t="s">
        <v>286</v>
      </c>
      <c r="E141" s="12" t="s">
        <v>160</v>
      </c>
      <c r="F141" s="12" t="s">
        <v>100</v>
      </c>
      <c r="G141" s="97" t="s">
        <v>6</v>
      </c>
      <c r="H141" s="12" t="s">
        <v>101</v>
      </c>
      <c r="I141" s="12" t="s">
        <v>119</v>
      </c>
      <c r="J141" s="12" t="s">
        <v>107</v>
      </c>
      <c r="K141" s="12"/>
      <c r="L141" s="12"/>
      <c r="M141" s="12"/>
      <c r="N141" s="12"/>
      <c r="O141" s="12"/>
      <c r="P141" s="12"/>
      <c r="Q141" s="12"/>
      <c r="R141" s="12"/>
      <c r="S141" s="12" t="s">
        <v>105</v>
      </c>
      <c r="T141" s="12" t="s">
        <v>105</v>
      </c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65"/>
      <c r="AI141" s="98"/>
    </row>
    <row r="142" spans="1:35">
      <c r="A142" s="12"/>
      <c r="B142" s="31" t="s">
        <v>97</v>
      </c>
      <c r="C142" s="96" t="s">
        <v>97</v>
      </c>
      <c r="D142" s="12" t="s">
        <v>287</v>
      </c>
      <c r="E142" s="12" t="s">
        <v>147</v>
      </c>
      <c r="F142" s="12" t="s">
        <v>100</v>
      </c>
      <c r="G142" s="97" t="s">
        <v>6</v>
      </c>
      <c r="H142" s="65" t="s">
        <v>145</v>
      </c>
      <c r="I142" s="12" t="s">
        <v>119</v>
      </c>
      <c r="J142" s="12" t="s">
        <v>288</v>
      </c>
      <c r="K142" s="12"/>
      <c r="L142" s="65"/>
      <c r="M142" s="12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98"/>
    </row>
    <row r="143" spans="1:35" ht="30">
      <c r="A143" s="12" t="s">
        <v>142</v>
      </c>
      <c r="B143" s="31" t="s">
        <v>96</v>
      </c>
      <c r="C143" s="96" t="s">
        <v>97</v>
      </c>
      <c r="D143" s="12" t="s">
        <v>289</v>
      </c>
      <c r="E143" s="12" t="s">
        <v>193</v>
      </c>
      <c r="F143" s="12" t="s">
        <v>100</v>
      </c>
      <c r="G143" s="97" t="s">
        <v>6</v>
      </c>
      <c r="H143" s="12" t="s">
        <v>101</v>
      </c>
      <c r="I143" s="12" t="s">
        <v>119</v>
      </c>
      <c r="J143" s="12" t="s">
        <v>114</v>
      </c>
      <c r="K143" s="12" t="s">
        <v>103</v>
      </c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65"/>
      <c r="AI143" s="98"/>
    </row>
    <row r="144" spans="1:35">
      <c r="A144" s="241" t="s">
        <v>95</v>
      </c>
      <c r="B144" s="31" t="s">
        <v>96</v>
      </c>
      <c r="C144" s="100" t="s">
        <v>97</v>
      </c>
      <c r="D144" s="27" t="s">
        <v>290</v>
      </c>
      <c r="E144" s="27" t="s">
        <v>160</v>
      </c>
      <c r="F144" s="27" t="s">
        <v>100</v>
      </c>
      <c r="G144" s="91" t="s">
        <v>6</v>
      </c>
      <c r="H144" s="27" t="s">
        <v>101</v>
      </c>
      <c r="I144" s="27" t="s">
        <v>119</v>
      </c>
      <c r="J144" s="27" t="s">
        <v>107</v>
      </c>
      <c r="K144" s="27"/>
      <c r="L144" s="27"/>
      <c r="M144" s="27"/>
      <c r="N144" s="27"/>
      <c r="O144" s="27"/>
      <c r="P144" s="27"/>
      <c r="Q144" s="27"/>
      <c r="R144" s="27"/>
      <c r="S144" s="27" t="s">
        <v>105</v>
      </c>
      <c r="T144" s="27" t="s">
        <v>105</v>
      </c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86"/>
      <c r="AI144" s="101"/>
    </row>
    <row r="145" spans="1:35">
      <c r="A145" s="12" t="s">
        <v>142</v>
      </c>
      <c r="B145" s="31" t="s">
        <v>96</v>
      </c>
      <c r="C145" s="100" t="s">
        <v>97</v>
      </c>
      <c r="D145" s="116" t="s">
        <v>291</v>
      </c>
      <c r="E145" s="12" t="s">
        <v>211</v>
      </c>
      <c r="F145" s="12" t="s">
        <v>100</v>
      </c>
      <c r="G145" s="97" t="s">
        <v>6</v>
      </c>
      <c r="H145" s="12" t="s">
        <v>101</v>
      </c>
      <c r="I145" s="12" t="s">
        <v>119</v>
      </c>
      <c r="J145" s="12" t="s">
        <v>107</v>
      </c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86"/>
      <c r="AI145" s="101"/>
    </row>
    <row r="146" spans="1:35">
      <c r="A146" s="12" t="s">
        <v>142</v>
      </c>
      <c r="B146" s="117" t="s">
        <v>96</v>
      </c>
      <c r="C146" s="100" t="s">
        <v>97</v>
      </c>
      <c r="D146" s="116" t="s">
        <v>292</v>
      </c>
      <c r="E146" s="27"/>
      <c r="F146" s="27" t="s">
        <v>100</v>
      </c>
      <c r="G146" s="91" t="s">
        <v>6</v>
      </c>
      <c r="H146" s="27" t="s">
        <v>101</v>
      </c>
      <c r="I146" s="27" t="s">
        <v>119</v>
      </c>
      <c r="J146" s="27" t="s">
        <v>107</v>
      </c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86"/>
      <c r="AI146" s="101"/>
    </row>
    <row r="147" spans="1:35" ht="30">
      <c r="A147" s="241" t="s">
        <v>95</v>
      </c>
      <c r="B147" s="117" t="s">
        <v>96</v>
      </c>
      <c r="C147" s="100" t="s">
        <v>97</v>
      </c>
      <c r="D147" s="116" t="s">
        <v>293</v>
      </c>
      <c r="E147" s="27" t="s">
        <v>99</v>
      </c>
      <c r="F147" s="27" t="s">
        <v>8</v>
      </c>
      <c r="G147" s="91" t="s">
        <v>6</v>
      </c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86"/>
      <c r="AI147" s="101"/>
    </row>
    <row r="148" spans="1:35">
      <c r="A148" s="12" t="s">
        <v>95</v>
      </c>
      <c r="B148" s="117" t="s">
        <v>96</v>
      </c>
      <c r="C148" s="100" t="s">
        <v>97</v>
      </c>
      <c r="D148" s="116" t="s">
        <v>294</v>
      </c>
      <c r="E148" s="27"/>
      <c r="F148" s="27"/>
      <c r="G148" s="91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86"/>
      <c r="AI148" s="101"/>
    </row>
    <row r="149" spans="1:35">
      <c r="A149" s="12"/>
      <c r="B149" s="117" t="s">
        <v>96</v>
      </c>
      <c r="C149" s="100" t="s">
        <v>97</v>
      </c>
      <c r="D149" s="116" t="s">
        <v>295</v>
      </c>
      <c r="E149" s="27"/>
      <c r="F149" s="27"/>
      <c r="G149" s="91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86"/>
      <c r="AI149" s="101"/>
    </row>
    <row r="150" spans="1:35">
      <c r="A150" s="12" t="s">
        <v>142</v>
      </c>
      <c r="B150" s="31" t="s">
        <v>96</v>
      </c>
      <c r="C150" s="100" t="s">
        <v>97</v>
      </c>
      <c r="D150" s="116" t="s">
        <v>296</v>
      </c>
      <c r="E150" s="12"/>
      <c r="F150" s="12"/>
      <c r="G150" s="97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65"/>
      <c r="AI150" s="98"/>
    </row>
    <row r="151" spans="1:35">
      <c r="A151" s="12" t="s">
        <v>95</v>
      </c>
      <c r="B151" s="117" t="s">
        <v>96</v>
      </c>
      <c r="C151" s="100" t="s">
        <v>97</v>
      </c>
      <c r="D151" s="116" t="s">
        <v>297</v>
      </c>
      <c r="E151" s="27"/>
      <c r="F151" s="27"/>
      <c r="G151" s="91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86"/>
      <c r="AI151" s="101"/>
    </row>
    <row r="152" spans="1:35" ht="30">
      <c r="A152" s="241" t="s">
        <v>95</v>
      </c>
      <c r="B152" s="117" t="s">
        <v>97</v>
      </c>
      <c r="C152" s="122" t="s">
        <v>97</v>
      </c>
      <c r="D152" s="27" t="s">
        <v>298</v>
      </c>
      <c r="E152" s="27" t="s">
        <v>99</v>
      </c>
      <c r="F152" s="27" t="s">
        <v>8</v>
      </c>
      <c r="G152" s="91" t="s">
        <v>6</v>
      </c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86"/>
      <c r="AI152" s="101"/>
    </row>
    <row r="153" spans="1:35">
      <c r="A153" s="12" t="s">
        <v>142</v>
      </c>
      <c r="B153" s="117" t="s">
        <v>97</v>
      </c>
      <c r="C153" s="122" t="s">
        <v>97</v>
      </c>
      <c r="D153" s="27" t="s">
        <v>299</v>
      </c>
      <c r="E153" s="27" t="s">
        <v>211</v>
      </c>
      <c r="F153" s="27" t="s">
        <v>8</v>
      </c>
      <c r="G153" s="91" t="s">
        <v>6</v>
      </c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86"/>
      <c r="AI153" s="101"/>
    </row>
    <row r="157" spans="1:35" ht="30">
      <c r="A157" s="12"/>
      <c r="B157" s="31" t="s">
        <v>97</v>
      </c>
      <c r="C157" s="96" t="s">
        <v>97</v>
      </c>
      <c r="D157" s="12" t="s">
        <v>300</v>
      </c>
      <c r="E157" s="12"/>
      <c r="F157" s="12" t="s">
        <v>100</v>
      </c>
      <c r="G157" s="97" t="s">
        <v>6</v>
      </c>
      <c r="H157" s="65" t="s">
        <v>145</v>
      </c>
      <c r="I157" s="12" t="s">
        <v>119</v>
      </c>
      <c r="J157" s="12" t="s">
        <v>103</v>
      </c>
      <c r="K157" s="65" t="s">
        <v>301</v>
      </c>
      <c r="L157" s="12"/>
      <c r="M157" s="12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98"/>
    </row>
    <row r="158" spans="1:35">
      <c r="A158" s="203"/>
      <c r="B158" s="242" t="s">
        <v>96</v>
      </c>
      <c r="C158" s="243" t="s">
        <v>97</v>
      </c>
      <c r="D158" s="244" t="s">
        <v>302</v>
      </c>
      <c r="E158" s="245"/>
      <c r="F158" s="245" t="s">
        <v>8</v>
      </c>
      <c r="G158" s="246" t="s">
        <v>6</v>
      </c>
      <c r="H158" s="245"/>
      <c r="I158" s="245"/>
      <c r="J158" s="245"/>
      <c r="K158" s="245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  <c r="AA158" s="245"/>
      <c r="AB158" s="245"/>
      <c r="AC158" s="245"/>
      <c r="AD158" s="245"/>
      <c r="AE158" s="245"/>
      <c r="AF158" s="245"/>
      <c r="AG158" s="245"/>
      <c r="AH158" s="247"/>
      <c r="AI158" s="245"/>
    </row>
    <row r="159" spans="1:35">
      <c r="A159" s="203"/>
      <c r="B159" s="248" t="s">
        <v>96</v>
      </c>
      <c r="C159" s="243" t="s">
        <v>97</v>
      </c>
      <c r="D159" s="244" t="s">
        <v>303</v>
      </c>
      <c r="E159" s="203"/>
      <c r="F159" s="203"/>
      <c r="G159" s="249"/>
      <c r="H159" s="203"/>
      <c r="I159" s="203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  <c r="AE159" s="203"/>
      <c r="AF159" s="203"/>
      <c r="AG159" s="203"/>
      <c r="AH159" s="250"/>
      <c r="AI159" s="203"/>
    </row>
  </sheetData>
  <phoneticPr fontId="29" type="noConversion"/>
  <conditionalFormatting sqref="C154 D1:D153 D157:D159 C160:C1048576 C156">
    <cfRule type="duplicateValues" dxfId="27" priority="12"/>
  </conditionalFormatting>
  <conditionalFormatting sqref="C154 D3:D153 D157:D159 C160:C1048576 C156">
    <cfRule type="duplicateValues" dxfId="26" priority="3"/>
  </conditionalFormatting>
  <dataValidations count="1">
    <dataValidation type="list" allowBlank="1" showInputMessage="1" showErrorMessage="1" sqref="H117 H137:H146 H4:H91" xr:uid="{D45AC81C-2211-4559-B9C2-CC337AD9A33A}">
      <formula1>"Connected product, Edge control, Analytics,"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A91B-C9D4-4627-8EEC-9C8DC5276D3B}">
  <dimension ref="A1:AI194"/>
  <sheetViews>
    <sheetView zoomScale="130" zoomScaleNormal="130" workbookViewId="0">
      <pane ySplit="2" topLeftCell="A151" activePane="bottomLeft" state="frozen"/>
      <selection pane="bottomLeft" activeCell="D167" sqref="D167"/>
    </sheetView>
  </sheetViews>
  <sheetFormatPr baseColWidth="10" defaultColWidth="8.5703125" defaultRowHeight="15"/>
  <cols>
    <col min="1" max="1" width="14.85546875" style="9" bestFit="1" customWidth="1"/>
    <col min="2" max="2" width="9.140625" style="9" customWidth="1"/>
    <col min="3" max="3" width="15.5703125" style="78" customWidth="1"/>
    <col min="4" max="4" width="37.7109375" style="9" customWidth="1"/>
    <col min="5" max="5" width="50.5703125" style="9" bestFit="1" customWidth="1"/>
    <col min="6" max="6" width="17.42578125" style="9" bestFit="1" customWidth="1"/>
    <col min="7" max="7" width="18.85546875" style="9" bestFit="1" customWidth="1"/>
    <col min="8" max="8" width="9.42578125" style="9" bestFit="1" customWidth="1"/>
    <col min="9" max="9" width="21.42578125" style="9" bestFit="1" customWidth="1"/>
    <col min="10" max="10" width="23" style="78" bestFit="1" customWidth="1"/>
    <col min="11" max="11" width="56" style="78" customWidth="1"/>
    <col min="12" max="12" width="65.42578125" style="78" customWidth="1"/>
    <col min="13" max="13" width="10.42578125" style="78" bestFit="1" customWidth="1"/>
    <col min="14" max="14" width="6.5703125" style="78" bestFit="1" customWidth="1"/>
    <col min="15" max="15" width="8.5703125" style="78" bestFit="1" customWidth="1"/>
    <col min="16" max="16" width="13.42578125" style="78" customWidth="1"/>
    <col min="17" max="17" width="9.42578125" style="78" bestFit="1" customWidth="1"/>
    <col min="18" max="18" width="8.42578125" style="78" customWidth="1"/>
    <col min="19" max="19" width="8.5703125" style="78" bestFit="1" customWidth="1"/>
    <col min="20" max="20" width="9.42578125" style="78" bestFit="1" customWidth="1"/>
    <col min="21" max="21" width="9" style="78" bestFit="1" customWidth="1"/>
    <col min="22" max="22" width="8" style="78" bestFit="1" customWidth="1"/>
    <col min="23" max="23" width="6.85546875" style="78" bestFit="1" customWidth="1"/>
    <col min="24" max="24" width="8.5703125" style="78" bestFit="1" customWidth="1"/>
    <col min="25" max="25" width="8.42578125" style="78" bestFit="1" customWidth="1"/>
    <col min="26" max="26" width="6.85546875" style="78" bestFit="1" customWidth="1"/>
    <col min="27" max="27" width="11" style="78" bestFit="1" customWidth="1"/>
    <col min="28" max="28" width="15.5703125" style="78" bestFit="1" customWidth="1"/>
    <col min="29" max="29" width="7.85546875" style="78" bestFit="1" customWidth="1"/>
    <col min="30" max="30" width="20.140625" style="78" customWidth="1"/>
    <col min="31" max="31" width="12.5703125" style="78" bestFit="1" customWidth="1"/>
    <col min="32" max="32" width="20.42578125" style="9" customWidth="1"/>
    <col min="33" max="33" width="16.42578125" style="9" customWidth="1"/>
    <col min="34" max="34" width="15.5703125" style="9" customWidth="1"/>
    <col min="35" max="35" width="13.42578125" style="9" customWidth="1"/>
    <col min="36" max="16384" width="8.5703125" style="9"/>
  </cols>
  <sheetData>
    <row r="1" spans="1:35">
      <c r="B1" s="78">
        <f>COUNTIF(Table32[Seen on BS],"Yes")</f>
        <v>27</v>
      </c>
      <c r="C1" s="78">
        <f>COUNTIF(Table32[Fingerprints available],"Yes")</f>
        <v>21</v>
      </c>
      <c r="D1" s="88">
        <f>COUNTA(Table32[Product range])</f>
        <v>170</v>
      </c>
      <c r="E1" s="78">
        <f>SUBTOTAL(3,D3:D172)</f>
        <v>170</v>
      </c>
    </row>
    <row r="2" spans="1:35" s="88" customFormat="1" ht="30">
      <c r="A2" s="17" t="s">
        <v>63</v>
      </c>
      <c r="B2" s="103" t="s">
        <v>33</v>
      </c>
      <c r="C2" s="104" t="s">
        <v>64</v>
      </c>
      <c r="D2" s="17" t="s">
        <v>304</v>
      </c>
      <c r="E2" s="17" t="s">
        <v>66</v>
      </c>
      <c r="F2" s="17" t="s">
        <v>29</v>
      </c>
      <c r="G2" s="18" t="s">
        <v>28</v>
      </c>
      <c r="H2" s="18" t="s">
        <v>67</v>
      </c>
      <c r="I2" s="17" t="s">
        <v>68</v>
      </c>
      <c r="J2" s="17" t="s">
        <v>305</v>
      </c>
      <c r="K2" s="17" t="s">
        <v>70</v>
      </c>
      <c r="L2" s="19" t="s">
        <v>71</v>
      </c>
      <c r="M2" s="18" t="s">
        <v>72</v>
      </c>
      <c r="N2" s="18" t="s">
        <v>73</v>
      </c>
      <c r="O2" s="18" t="s">
        <v>74</v>
      </c>
      <c r="P2" s="18" t="s">
        <v>75</v>
      </c>
      <c r="Q2" s="18" t="s">
        <v>76</v>
      </c>
      <c r="R2" s="18" t="s">
        <v>77</v>
      </c>
      <c r="S2" s="18" t="s">
        <v>78</v>
      </c>
      <c r="T2" s="18" t="s">
        <v>79</v>
      </c>
      <c r="U2" s="18" t="s">
        <v>80</v>
      </c>
      <c r="V2" s="18" t="s">
        <v>81</v>
      </c>
      <c r="W2" s="18" t="s">
        <v>82</v>
      </c>
      <c r="X2" s="18" t="s">
        <v>83</v>
      </c>
      <c r="Y2" s="18" t="s">
        <v>84</v>
      </c>
      <c r="Z2" s="18" t="s">
        <v>85</v>
      </c>
      <c r="AA2" s="18" t="s">
        <v>86</v>
      </c>
      <c r="AB2" s="18" t="s">
        <v>87</v>
      </c>
      <c r="AC2" s="18" t="s">
        <v>88</v>
      </c>
      <c r="AD2" s="18" t="s">
        <v>89</v>
      </c>
      <c r="AE2" s="17" t="s">
        <v>90</v>
      </c>
      <c r="AF2" s="18" t="s">
        <v>91</v>
      </c>
      <c r="AG2" s="18" t="s">
        <v>92</v>
      </c>
      <c r="AH2" s="18" t="s">
        <v>306</v>
      </c>
      <c r="AI2" s="20" t="s">
        <v>94</v>
      </c>
    </row>
    <row r="3" spans="1:35" s="93" customFormat="1" ht="30">
      <c r="A3" s="251"/>
      <c r="B3" s="107" t="s">
        <v>307</v>
      </c>
      <c r="C3" s="1" t="s">
        <v>307</v>
      </c>
      <c r="D3" s="293" t="s">
        <v>308</v>
      </c>
      <c r="E3" s="12" t="s">
        <v>309</v>
      </c>
      <c r="F3" s="1" t="s">
        <v>310</v>
      </c>
      <c r="G3" s="55" t="s">
        <v>311</v>
      </c>
      <c r="H3" s="55" t="s">
        <v>312</v>
      </c>
      <c r="I3" s="12" t="s">
        <v>313</v>
      </c>
      <c r="J3" s="12" t="s">
        <v>314</v>
      </c>
      <c r="K3" s="12" t="s">
        <v>315</v>
      </c>
      <c r="L3" s="1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61"/>
    </row>
    <row r="4" spans="1:35" s="93" customFormat="1" ht="30">
      <c r="A4" s="1"/>
      <c r="B4" s="96" t="s">
        <v>97</v>
      </c>
      <c r="C4" s="1" t="s">
        <v>97</v>
      </c>
      <c r="D4" s="12" t="s">
        <v>316</v>
      </c>
      <c r="E4" s="12" t="s">
        <v>317</v>
      </c>
      <c r="F4" s="1" t="s">
        <v>12</v>
      </c>
      <c r="G4" s="55" t="s">
        <v>11</v>
      </c>
      <c r="H4" s="55" t="s">
        <v>101</v>
      </c>
      <c r="I4" s="12" t="s">
        <v>318</v>
      </c>
      <c r="J4" s="12" t="s">
        <v>107</v>
      </c>
      <c r="K4" s="12"/>
      <c r="L4" s="1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61"/>
    </row>
    <row r="5" spans="1:35" s="93" customFormat="1" ht="30">
      <c r="A5" s="1"/>
      <c r="B5" s="107" t="s">
        <v>97</v>
      </c>
      <c r="C5" s="1" t="s">
        <v>97</v>
      </c>
      <c r="D5" s="12" t="s">
        <v>325</v>
      </c>
      <c r="E5" s="12" t="s">
        <v>317</v>
      </c>
      <c r="F5" s="1" t="s">
        <v>12</v>
      </c>
      <c r="G5" s="55" t="s">
        <v>11</v>
      </c>
      <c r="H5" s="55" t="s">
        <v>101</v>
      </c>
      <c r="I5" s="12" t="s">
        <v>318</v>
      </c>
      <c r="J5" s="12" t="s">
        <v>107</v>
      </c>
      <c r="K5" s="12"/>
      <c r="L5" s="1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61"/>
    </row>
    <row r="6" spans="1:35" s="93" customFormat="1" ht="30">
      <c r="A6" s="1"/>
      <c r="B6" s="107" t="s">
        <v>307</v>
      </c>
      <c r="C6" s="1" t="s">
        <v>307</v>
      </c>
      <c r="D6" s="293" t="s">
        <v>330</v>
      </c>
      <c r="E6" s="12" t="s">
        <v>331</v>
      </c>
      <c r="F6" s="1" t="s">
        <v>310</v>
      </c>
      <c r="G6" s="55" t="s">
        <v>311</v>
      </c>
      <c r="H6" s="55" t="s">
        <v>312</v>
      </c>
      <c r="I6" s="12" t="s">
        <v>313</v>
      </c>
      <c r="J6" s="12" t="s">
        <v>314</v>
      </c>
      <c r="K6" s="12" t="s">
        <v>332</v>
      </c>
      <c r="L6" s="1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61"/>
    </row>
    <row r="7" spans="1:35" s="93" customFormat="1" ht="30">
      <c r="A7" s="1"/>
      <c r="B7" s="107" t="s">
        <v>307</v>
      </c>
      <c r="C7" s="1" t="s">
        <v>307</v>
      </c>
      <c r="D7" s="293" t="s">
        <v>333</v>
      </c>
      <c r="E7" s="12" t="s">
        <v>331</v>
      </c>
      <c r="F7" s="1" t="s">
        <v>310</v>
      </c>
      <c r="G7" s="55" t="s">
        <v>311</v>
      </c>
      <c r="H7" s="55" t="s">
        <v>312</v>
      </c>
      <c r="I7" s="12" t="s">
        <v>313</v>
      </c>
      <c r="J7" s="12" t="s">
        <v>314</v>
      </c>
      <c r="K7" s="12" t="s">
        <v>332</v>
      </c>
      <c r="L7" s="1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61"/>
    </row>
    <row r="8" spans="1:35" s="93" customFormat="1" ht="30">
      <c r="A8" s="1"/>
      <c r="B8" s="107" t="s">
        <v>307</v>
      </c>
      <c r="C8" s="1" t="s">
        <v>307</v>
      </c>
      <c r="D8" s="293" t="s">
        <v>334</v>
      </c>
      <c r="E8" s="12" t="s">
        <v>331</v>
      </c>
      <c r="F8" s="1" t="s">
        <v>310</v>
      </c>
      <c r="G8" s="55" t="s">
        <v>311</v>
      </c>
      <c r="H8" s="55" t="s">
        <v>322</v>
      </c>
      <c r="I8" s="12" t="s">
        <v>119</v>
      </c>
      <c r="J8" s="12" t="s">
        <v>314</v>
      </c>
      <c r="K8" s="12" t="s">
        <v>332</v>
      </c>
      <c r="L8" s="1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61"/>
    </row>
    <row r="9" spans="1:35" s="93" customFormat="1" ht="30">
      <c r="A9" s="1"/>
      <c r="B9" s="107" t="s">
        <v>307</v>
      </c>
      <c r="C9" s="1" t="s">
        <v>307</v>
      </c>
      <c r="D9" s="295" t="s">
        <v>335</v>
      </c>
      <c r="E9" s="12" t="s">
        <v>336</v>
      </c>
      <c r="F9" s="1" t="s">
        <v>12</v>
      </c>
      <c r="G9" s="55" t="s">
        <v>11</v>
      </c>
      <c r="H9" s="55" t="s">
        <v>145</v>
      </c>
      <c r="I9" s="12" t="s">
        <v>119</v>
      </c>
      <c r="J9" s="12" t="s">
        <v>107</v>
      </c>
      <c r="K9" s="12" t="s">
        <v>337</v>
      </c>
      <c r="L9" s="1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61"/>
    </row>
    <row r="10" spans="1:35" s="93" customFormat="1" ht="30">
      <c r="A10" s="1"/>
      <c r="B10" s="107" t="s">
        <v>97</v>
      </c>
      <c r="C10" s="1" t="s">
        <v>97</v>
      </c>
      <c r="D10" s="12" t="s">
        <v>343</v>
      </c>
      <c r="E10" s="12" t="s">
        <v>344</v>
      </c>
      <c r="F10" s="1"/>
      <c r="G10" s="55"/>
      <c r="H10" s="55" t="s">
        <v>145</v>
      </c>
      <c r="I10" s="12" t="s">
        <v>345</v>
      </c>
      <c r="J10" s="12" t="s">
        <v>107</v>
      </c>
      <c r="K10" s="12"/>
      <c r="L10" s="11" t="s">
        <v>147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61"/>
    </row>
    <row r="11" spans="1:35" s="93" customFormat="1" ht="30">
      <c r="A11" s="1"/>
      <c r="B11" s="107" t="s">
        <v>307</v>
      </c>
      <c r="C11" s="1" t="s">
        <v>307</v>
      </c>
      <c r="D11" s="293" t="s">
        <v>347</v>
      </c>
      <c r="E11" s="12" t="s">
        <v>331</v>
      </c>
      <c r="F11" s="1" t="s">
        <v>310</v>
      </c>
      <c r="G11" s="55" t="s">
        <v>311</v>
      </c>
      <c r="H11" s="55" t="s">
        <v>322</v>
      </c>
      <c r="I11" s="12" t="s">
        <v>119</v>
      </c>
      <c r="J11" s="12"/>
      <c r="K11" s="12" t="s">
        <v>332</v>
      </c>
      <c r="L11" s="1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61"/>
    </row>
    <row r="12" spans="1:35" s="93" customFormat="1" ht="30">
      <c r="A12" s="1"/>
      <c r="B12" s="107" t="s">
        <v>307</v>
      </c>
      <c r="C12" s="1" t="s">
        <v>307</v>
      </c>
      <c r="D12" s="293" t="s">
        <v>348</v>
      </c>
      <c r="E12" s="12" t="s">
        <v>331</v>
      </c>
      <c r="F12" s="1" t="s">
        <v>310</v>
      </c>
      <c r="G12" s="55" t="s">
        <v>311</v>
      </c>
      <c r="H12" s="55" t="s">
        <v>322</v>
      </c>
      <c r="I12" s="12" t="s">
        <v>119</v>
      </c>
      <c r="J12" s="12"/>
      <c r="K12" s="12" t="s">
        <v>332</v>
      </c>
      <c r="L12" s="1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61"/>
    </row>
    <row r="13" spans="1:35" s="93" customFormat="1" ht="30">
      <c r="A13" s="1"/>
      <c r="B13" s="107" t="s">
        <v>307</v>
      </c>
      <c r="C13" s="1" t="s">
        <v>307</v>
      </c>
      <c r="D13" s="293" t="s">
        <v>349</v>
      </c>
      <c r="E13" s="12" t="s">
        <v>331</v>
      </c>
      <c r="F13" s="1" t="s">
        <v>310</v>
      </c>
      <c r="G13" s="55" t="s">
        <v>311</v>
      </c>
      <c r="H13" s="55" t="s">
        <v>322</v>
      </c>
      <c r="I13" s="12" t="s">
        <v>119</v>
      </c>
      <c r="J13" s="12"/>
      <c r="K13" s="12" t="s">
        <v>332</v>
      </c>
      <c r="L13" s="1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61"/>
    </row>
    <row r="14" spans="1:35" s="93" customFormat="1" ht="30">
      <c r="A14" s="1"/>
      <c r="B14" s="107" t="s">
        <v>307</v>
      </c>
      <c r="C14" s="1" t="s">
        <v>307</v>
      </c>
      <c r="D14" s="293" t="s">
        <v>350</v>
      </c>
      <c r="E14" s="12" t="s">
        <v>331</v>
      </c>
      <c r="F14" s="1" t="s">
        <v>310</v>
      </c>
      <c r="G14" s="55" t="s">
        <v>311</v>
      </c>
      <c r="H14" s="55" t="s">
        <v>322</v>
      </c>
      <c r="I14" s="12" t="s">
        <v>119</v>
      </c>
      <c r="J14" s="12"/>
      <c r="K14" s="12" t="s">
        <v>332</v>
      </c>
      <c r="L14" s="1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61"/>
    </row>
    <row r="15" spans="1:35" s="93" customFormat="1" ht="30">
      <c r="A15" s="1"/>
      <c r="B15" s="107" t="s">
        <v>307</v>
      </c>
      <c r="C15" s="1" t="s">
        <v>307</v>
      </c>
      <c r="D15" s="293" t="s">
        <v>352</v>
      </c>
      <c r="E15" s="12" t="s">
        <v>309</v>
      </c>
      <c r="F15" s="1" t="s">
        <v>310</v>
      </c>
      <c r="G15" s="55" t="s">
        <v>311</v>
      </c>
      <c r="H15" s="55" t="s">
        <v>312</v>
      </c>
      <c r="I15" s="12" t="s">
        <v>313</v>
      </c>
      <c r="J15" s="12" t="s">
        <v>314</v>
      </c>
      <c r="K15" s="12" t="s">
        <v>315</v>
      </c>
      <c r="L15" s="1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61"/>
    </row>
    <row r="16" spans="1:35" s="93" customFormat="1" ht="30">
      <c r="A16" s="1"/>
      <c r="B16" s="107" t="s">
        <v>307</v>
      </c>
      <c r="C16" s="1" t="s">
        <v>307</v>
      </c>
      <c r="D16" s="293" t="s">
        <v>353</v>
      </c>
      <c r="E16" s="12" t="s">
        <v>309</v>
      </c>
      <c r="F16" s="1" t="s">
        <v>310</v>
      </c>
      <c r="G16" s="55" t="s">
        <v>311</v>
      </c>
      <c r="H16" s="55" t="s">
        <v>312</v>
      </c>
      <c r="I16" s="12" t="s">
        <v>313</v>
      </c>
      <c r="J16" s="12" t="s">
        <v>314</v>
      </c>
      <c r="K16" s="12" t="s">
        <v>315</v>
      </c>
      <c r="L16" s="1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61"/>
    </row>
    <row r="17" spans="1:35" s="93" customFormat="1" ht="30">
      <c r="A17" s="1"/>
      <c r="B17" s="107" t="s">
        <v>307</v>
      </c>
      <c r="C17" s="1" t="s">
        <v>307</v>
      </c>
      <c r="D17" s="293" t="s">
        <v>354</v>
      </c>
      <c r="E17" s="12" t="s">
        <v>309</v>
      </c>
      <c r="F17" s="1" t="s">
        <v>310</v>
      </c>
      <c r="G17" s="55" t="s">
        <v>311</v>
      </c>
      <c r="H17" s="55" t="s">
        <v>312</v>
      </c>
      <c r="I17" s="12" t="s">
        <v>313</v>
      </c>
      <c r="J17" s="12" t="s">
        <v>314</v>
      </c>
      <c r="K17" s="12" t="s">
        <v>315</v>
      </c>
      <c r="L17" s="1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61"/>
    </row>
    <row r="18" spans="1:35" s="93" customFormat="1" ht="30">
      <c r="A18" s="1"/>
      <c r="B18" s="107" t="s">
        <v>307</v>
      </c>
      <c r="C18" s="1" t="s">
        <v>307</v>
      </c>
      <c r="D18" s="295" t="s">
        <v>356</v>
      </c>
      <c r="E18" s="12" t="s">
        <v>357</v>
      </c>
      <c r="F18" s="1" t="s">
        <v>12</v>
      </c>
      <c r="G18" s="55" t="s">
        <v>11</v>
      </c>
      <c r="H18" s="55" t="s">
        <v>312</v>
      </c>
      <c r="I18" s="12" t="s">
        <v>318</v>
      </c>
      <c r="J18" s="12" t="s">
        <v>342</v>
      </c>
      <c r="K18" s="12" t="s">
        <v>337</v>
      </c>
      <c r="L18" s="1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61"/>
    </row>
    <row r="19" spans="1:35" s="93" customFormat="1" ht="30">
      <c r="A19" s="1"/>
      <c r="B19" s="107" t="s">
        <v>307</v>
      </c>
      <c r="C19" s="1" t="s">
        <v>307</v>
      </c>
      <c r="D19" s="295" t="s">
        <v>358</v>
      </c>
      <c r="E19" s="12" t="s">
        <v>359</v>
      </c>
      <c r="F19" s="1" t="s">
        <v>12</v>
      </c>
      <c r="G19" s="55" t="s">
        <v>11</v>
      </c>
      <c r="H19" s="55" t="s">
        <v>145</v>
      </c>
      <c r="I19" s="12" t="s">
        <v>119</v>
      </c>
      <c r="J19" s="12" t="s">
        <v>107</v>
      </c>
      <c r="K19" s="12" t="s">
        <v>337</v>
      </c>
      <c r="L19" s="11" t="s">
        <v>360</v>
      </c>
      <c r="M19" s="1"/>
      <c r="N19" s="1"/>
      <c r="O19" s="1"/>
      <c r="P19" s="1" t="s">
        <v>105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61"/>
    </row>
    <row r="20" spans="1:35" s="93" customFormat="1" ht="30">
      <c r="A20" s="1"/>
      <c r="B20" s="107" t="s">
        <v>97</v>
      </c>
      <c r="C20" s="14" t="s">
        <v>96</v>
      </c>
      <c r="D20" s="55" t="s">
        <v>361</v>
      </c>
      <c r="E20" s="12" t="s">
        <v>344</v>
      </c>
      <c r="F20" s="1" t="s">
        <v>12</v>
      </c>
      <c r="G20" s="55" t="s">
        <v>11</v>
      </c>
      <c r="H20" s="55" t="s">
        <v>101</v>
      </c>
      <c r="I20" s="12" t="s">
        <v>112</v>
      </c>
      <c r="J20" s="12" t="s">
        <v>107</v>
      </c>
      <c r="K20" s="12"/>
      <c r="L20" s="11" t="s">
        <v>362</v>
      </c>
      <c r="M20" s="1"/>
      <c r="N20" s="1"/>
      <c r="O20" s="1"/>
      <c r="P20" s="1"/>
      <c r="Q20" s="1"/>
      <c r="R20" s="1"/>
      <c r="S20" s="1" t="s">
        <v>105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61"/>
    </row>
    <row r="21" spans="1:35" s="93" customFormat="1" ht="30">
      <c r="A21" s="1"/>
      <c r="B21" s="107" t="s">
        <v>97</v>
      </c>
      <c r="C21" s="1" t="s">
        <v>97</v>
      </c>
      <c r="D21" s="55" t="s">
        <v>363</v>
      </c>
      <c r="E21" s="12" t="s">
        <v>344</v>
      </c>
      <c r="F21" s="1" t="s">
        <v>12</v>
      </c>
      <c r="G21" s="55" t="s">
        <v>11</v>
      </c>
      <c r="H21" s="55" t="s">
        <v>101</v>
      </c>
      <c r="I21" s="12" t="s">
        <v>112</v>
      </c>
      <c r="J21" s="12" t="s">
        <v>107</v>
      </c>
      <c r="K21" s="12"/>
      <c r="L21" s="55" t="s">
        <v>364</v>
      </c>
      <c r="M21" s="14"/>
      <c r="N21" s="14"/>
      <c r="O21" s="14"/>
      <c r="P21" s="14"/>
      <c r="Q21" s="14"/>
      <c r="R21" s="14"/>
      <c r="S21" s="14" t="s">
        <v>105</v>
      </c>
      <c r="T21" s="14" t="s">
        <v>105</v>
      </c>
      <c r="U21" s="14"/>
      <c r="V21" s="14"/>
      <c r="W21" s="14"/>
      <c r="X21" s="14"/>
      <c r="Y21" s="14" t="s">
        <v>105</v>
      </c>
      <c r="Z21" s="14"/>
      <c r="AA21" s="14" t="s">
        <v>105</v>
      </c>
      <c r="AB21" s="14"/>
      <c r="AC21" s="1" t="s">
        <v>105</v>
      </c>
      <c r="AD21" s="1"/>
      <c r="AE21" s="1"/>
      <c r="AF21" s="1"/>
      <c r="AG21" s="1"/>
      <c r="AH21" s="1"/>
      <c r="AI21" s="61"/>
    </row>
    <row r="22" spans="1:35" s="93" customFormat="1" ht="30">
      <c r="A22" s="1"/>
      <c r="B22" s="107" t="s">
        <v>97</v>
      </c>
      <c r="C22" s="1" t="s">
        <v>97</v>
      </c>
      <c r="D22" s="12" t="s">
        <v>365</v>
      </c>
      <c r="E22" s="12" t="s">
        <v>344</v>
      </c>
      <c r="F22" s="1" t="s">
        <v>12</v>
      </c>
      <c r="G22" s="55" t="s">
        <v>11</v>
      </c>
      <c r="H22" s="55" t="s">
        <v>101</v>
      </c>
      <c r="I22" s="12" t="s">
        <v>112</v>
      </c>
      <c r="J22" s="12" t="s">
        <v>107</v>
      </c>
      <c r="K22" s="12"/>
      <c r="L22" s="11" t="s">
        <v>366</v>
      </c>
      <c r="M22" s="1"/>
      <c r="N22" s="1"/>
      <c r="O22" s="1"/>
      <c r="P22" s="1"/>
      <c r="Q22" s="1"/>
      <c r="R22" s="1"/>
      <c r="S22" s="1" t="s">
        <v>105</v>
      </c>
      <c r="T22" s="1" t="s">
        <v>105</v>
      </c>
      <c r="U22" s="1"/>
      <c r="V22" s="1"/>
      <c r="W22" s="1"/>
      <c r="X22" s="1"/>
      <c r="Y22" s="1" t="s">
        <v>105</v>
      </c>
      <c r="Z22" s="1"/>
      <c r="AA22" s="1"/>
      <c r="AB22" s="1"/>
      <c r="AC22" s="1"/>
      <c r="AD22" s="1"/>
      <c r="AE22" s="1"/>
      <c r="AF22" s="1"/>
      <c r="AG22" s="1"/>
      <c r="AH22" s="1"/>
      <c r="AI22" s="61"/>
    </row>
    <row r="23" spans="1:35" s="93" customFormat="1" ht="30">
      <c r="A23" s="1"/>
      <c r="B23" s="107" t="s">
        <v>97</v>
      </c>
      <c r="C23" s="1" t="s">
        <v>97</v>
      </c>
      <c r="D23" s="12" t="s">
        <v>367</v>
      </c>
      <c r="E23" s="12" t="s">
        <v>344</v>
      </c>
      <c r="F23" s="1" t="s">
        <v>12</v>
      </c>
      <c r="G23" s="55" t="s">
        <v>11</v>
      </c>
      <c r="H23" s="55" t="s">
        <v>101</v>
      </c>
      <c r="I23" s="12" t="s">
        <v>112</v>
      </c>
      <c r="J23" s="12" t="s">
        <v>107</v>
      </c>
      <c r="K23" s="12"/>
      <c r="L23" s="11" t="s">
        <v>368</v>
      </c>
      <c r="M23" s="1"/>
      <c r="N23" s="1"/>
      <c r="O23" s="1"/>
      <c r="P23" s="1"/>
      <c r="Q23" s="1"/>
      <c r="R23" s="1"/>
      <c r="S23" s="1" t="s">
        <v>105</v>
      </c>
      <c r="T23" s="1"/>
      <c r="U23" s="1"/>
      <c r="V23" s="1"/>
      <c r="W23" s="1"/>
      <c r="X23" s="1"/>
      <c r="Y23" s="1" t="s">
        <v>105</v>
      </c>
      <c r="Z23" s="1"/>
      <c r="AA23" s="1"/>
      <c r="AB23" s="1"/>
      <c r="AC23" s="1"/>
      <c r="AD23" s="1"/>
      <c r="AE23" s="1"/>
      <c r="AF23" s="1"/>
      <c r="AG23" s="1"/>
      <c r="AH23" s="1"/>
      <c r="AI23" s="61"/>
    </row>
    <row r="24" spans="1:35" s="93" customFormat="1" ht="30">
      <c r="A24" s="1"/>
      <c r="B24" s="107" t="s">
        <v>97</v>
      </c>
      <c r="C24" s="1" t="s">
        <v>97</v>
      </c>
      <c r="D24" s="290" t="s">
        <v>369</v>
      </c>
      <c r="E24" s="65" t="s">
        <v>370</v>
      </c>
      <c r="F24" s="1" t="s">
        <v>12</v>
      </c>
      <c r="G24" s="55" t="s">
        <v>11</v>
      </c>
      <c r="H24" s="55" t="s">
        <v>101</v>
      </c>
      <c r="I24" s="12" t="s">
        <v>112</v>
      </c>
      <c r="J24" s="12" t="s">
        <v>114</v>
      </c>
      <c r="K24" s="12"/>
      <c r="L24" s="11" t="s">
        <v>371</v>
      </c>
      <c r="M24" s="1"/>
      <c r="N24" s="1"/>
      <c r="O24" s="1"/>
      <c r="P24" s="1"/>
      <c r="Q24" s="1"/>
      <c r="R24" s="1"/>
      <c r="S24" s="1" t="s">
        <v>105</v>
      </c>
      <c r="T24" s="1"/>
      <c r="U24" s="1" t="s">
        <v>372</v>
      </c>
      <c r="V24" s="1" t="s">
        <v>372</v>
      </c>
      <c r="W24" s="1"/>
      <c r="X24" s="1" t="s">
        <v>373</v>
      </c>
      <c r="Y24" s="1"/>
      <c r="Z24" s="1"/>
      <c r="AA24" s="1"/>
      <c r="AB24" s="1"/>
      <c r="AC24" s="1"/>
      <c r="AD24" s="1"/>
      <c r="AE24" s="1" t="s">
        <v>372</v>
      </c>
      <c r="AF24" s="1" t="s">
        <v>105</v>
      </c>
      <c r="AG24" s="1"/>
      <c r="AH24" s="1"/>
      <c r="AI24" s="61"/>
    </row>
    <row r="25" spans="1:35" s="93" customFormat="1" ht="30">
      <c r="A25" s="1"/>
      <c r="B25" s="107" t="s">
        <v>97</v>
      </c>
      <c r="C25" s="1" t="s">
        <v>97</v>
      </c>
      <c r="D25" s="288" t="s">
        <v>374</v>
      </c>
      <c r="E25" s="65" t="s">
        <v>370</v>
      </c>
      <c r="F25" s="1" t="s">
        <v>12</v>
      </c>
      <c r="G25" s="55" t="s">
        <v>11</v>
      </c>
      <c r="H25" s="55" t="s">
        <v>101</v>
      </c>
      <c r="I25" s="12" t="s">
        <v>375</v>
      </c>
      <c r="J25" s="12" t="s">
        <v>114</v>
      </c>
      <c r="K25" s="12" t="s">
        <v>376</v>
      </c>
      <c r="L25" s="11" t="s">
        <v>377</v>
      </c>
      <c r="M25" s="1"/>
      <c r="N25" s="1"/>
      <c r="O25" s="1"/>
      <c r="P25" s="1"/>
      <c r="Q25" s="1"/>
      <c r="R25" s="1"/>
      <c r="S25" s="1" t="s">
        <v>105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 t="s">
        <v>105</v>
      </c>
      <c r="AF25" s="1"/>
      <c r="AG25" s="1"/>
      <c r="AH25" s="1"/>
      <c r="AI25" s="61"/>
    </row>
    <row r="26" spans="1:35" s="93" customFormat="1" ht="30">
      <c r="A26" s="1"/>
      <c r="B26" s="107" t="s">
        <v>97</v>
      </c>
      <c r="C26" s="1" t="s">
        <v>97</v>
      </c>
      <c r="D26" s="288" t="s">
        <v>378</v>
      </c>
      <c r="E26" s="65" t="s">
        <v>370</v>
      </c>
      <c r="F26" s="1" t="s">
        <v>12</v>
      </c>
      <c r="G26" s="55" t="s">
        <v>11</v>
      </c>
      <c r="H26" s="55" t="s">
        <v>101</v>
      </c>
      <c r="I26" s="12" t="s">
        <v>112</v>
      </c>
      <c r="J26" s="12" t="s">
        <v>114</v>
      </c>
      <c r="K26" s="12" t="s">
        <v>376</v>
      </c>
      <c r="L26" s="11" t="s">
        <v>377</v>
      </c>
      <c r="M26" s="1"/>
      <c r="N26" s="1"/>
      <c r="O26" s="1"/>
      <c r="P26" s="1"/>
      <c r="Q26" s="1"/>
      <c r="R26" s="1"/>
      <c r="S26" s="1" t="s">
        <v>105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 t="s">
        <v>105</v>
      </c>
      <c r="AF26" s="1"/>
      <c r="AG26" s="1"/>
      <c r="AH26" s="1"/>
      <c r="AI26" s="61"/>
    </row>
    <row r="27" spans="1:35" s="93" customFormat="1" ht="30">
      <c r="A27" s="1"/>
      <c r="B27" s="107" t="s">
        <v>97</v>
      </c>
      <c r="C27" s="1" t="s">
        <v>97</v>
      </c>
      <c r="D27" s="288" t="s">
        <v>379</v>
      </c>
      <c r="E27" s="65" t="s">
        <v>370</v>
      </c>
      <c r="F27" s="1" t="s">
        <v>12</v>
      </c>
      <c r="G27" s="55" t="s">
        <v>11</v>
      </c>
      <c r="H27" s="55" t="s">
        <v>101</v>
      </c>
      <c r="I27" s="12" t="s">
        <v>112</v>
      </c>
      <c r="J27" s="12" t="s">
        <v>194</v>
      </c>
      <c r="K27" s="12"/>
      <c r="L27" s="11" t="s">
        <v>371</v>
      </c>
      <c r="M27" s="1"/>
      <c r="N27" s="1"/>
      <c r="O27" s="1"/>
      <c r="P27" s="1"/>
      <c r="Q27" s="1"/>
      <c r="R27" s="1"/>
      <c r="S27" s="1" t="s">
        <v>105</v>
      </c>
      <c r="T27" s="1"/>
      <c r="U27" s="1"/>
      <c r="V27" s="1"/>
      <c r="W27" s="1"/>
      <c r="X27" s="1" t="s">
        <v>373</v>
      </c>
      <c r="Y27" s="1"/>
      <c r="Z27" s="1"/>
      <c r="AA27" s="1"/>
      <c r="AB27" s="1"/>
      <c r="AC27" s="1"/>
      <c r="AD27" s="1"/>
      <c r="AE27" s="1" t="s">
        <v>105</v>
      </c>
      <c r="AF27" s="1" t="s">
        <v>105</v>
      </c>
      <c r="AG27" s="1"/>
      <c r="AH27" s="1"/>
      <c r="AI27" s="61"/>
    </row>
    <row r="28" spans="1:35" s="93" customFormat="1" ht="30">
      <c r="A28" s="1"/>
      <c r="B28" s="107" t="s">
        <v>97</v>
      </c>
      <c r="C28" s="1" t="s">
        <v>97</v>
      </c>
      <c r="D28" s="288" t="s">
        <v>380</v>
      </c>
      <c r="E28" s="65" t="s">
        <v>370</v>
      </c>
      <c r="F28" s="1" t="s">
        <v>12</v>
      </c>
      <c r="G28" s="55" t="s">
        <v>11</v>
      </c>
      <c r="H28" s="55" t="s">
        <v>101</v>
      </c>
      <c r="I28" s="12" t="s">
        <v>112</v>
      </c>
      <c r="J28" s="12" t="s">
        <v>194</v>
      </c>
      <c r="K28" s="12"/>
      <c r="L28" s="11" t="s">
        <v>381</v>
      </c>
      <c r="M28" s="1"/>
      <c r="N28" s="1"/>
      <c r="O28" s="1"/>
      <c r="P28" s="1"/>
      <c r="Q28" s="1"/>
      <c r="R28" s="1"/>
      <c r="S28" s="1" t="s">
        <v>105</v>
      </c>
      <c r="T28" s="1" t="s">
        <v>105</v>
      </c>
      <c r="U28" s="1" t="s">
        <v>372</v>
      </c>
      <c r="V28" s="1"/>
      <c r="W28" s="1"/>
      <c r="X28" s="1"/>
      <c r="Y28" s="1" t="s">
        <v>372</v>
      </c>
      <c r="Z28" s="1"/>
      <c r="AA28" s="1"/>
      <c r="AB28" s="1"/>
      <c r="AC28" s="1"/>
      <c r="AD28" s="1"/>
      <c r="AE28" s="1" t="s">
        <v>105</v>
      </c>
      <c r="AF28" s="1" t="s">
        <v>105</v>
      </c>
      <c r="AG28" s="1"/>
      <c r="AH28" s="1"/>
      <c r="AI28" s="61"/>
    </row>
    <row r="29" spans="1:35" s="93" customFormat="1" ht="30">
      <c r="A29" s="1"/>
      <c r="B29" s="107" t="s">
        <v>97</v>
      </c>
      <c r="C29" s="1" t="s">
        <v>97</v>
      </c>
      <c r="D29" s="289" t="s">
        <v>382</v>
      </c>
      <c r="E29" s="12" t="s">
        <v>344</v>
      </c>
      <c r="F29" s="1" t="s">
        <v>12</v>
      </c>
      <c r="G29" s="55" t="s">
        <v>11</v>
      </c>
      <c r="H29" s="55" t="s">
        <v>101</v>
      </c>
      <c r="I29" s="12" t="s">
        <v>112</v>
      </c>
      <c r="J29" s="12" t="s">
        <v>383</v>
      </c>
      <c r="K29" s="12" t="s">
        <v>376</v>
      </c>
      <c r="L29" s="11" t="s">
        <v>384</v>
      </c>
      <c r="M29" s="1"/>
      <c r="N29" s="1"/>
      <c r="O29" s="1"/>
      <c r="P29" s="1"/>
      <c r="Q29" s="1"/>
      <c r="R29" s="1"/>
      <c r="S29" s="1" t="s">
        <v>105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 t="s">
        <v>385</v>
      </c>
      <c r="AF29" s="1"/>
      <c r="AG29" s="1"/>
      <c r="AH29" s="1"/>
      <c r="AI29" s="61"/>
    </row>
    <row r="30" spans="1:35" s="93" customFormat="1" ht="30">
      <c r="A30" s="1"/>
      <c r="B30" s="107" t="s">
        <v>96</v>
      </c>
      <c r="C30" s="1" t="s">
        <v>97</v>
      </c>
      <c r="D30" s="289" t="s">
        <v>386</v>
      </c>
      <c r="E30" s="12" t="s">
        <v>344</v>
      </c>
      <c r="F30" s="1" t="s">
        <v>12</v>
      </c>
      <c r="G30" s="55" t="s">
        <v>11</v>
      </c>
      <c r="H30" s="55" t="s">
        <v>101</v>
      </c>
      <c r="I30" s="12" t="s">
        <v>112</v>
      </c>
      <c r="J30" s="12" t="s">
        <v>383</v>
      </c>
      <c r="K30" s="12"/>
      <c r="L30" s="11" t="s">
        <v>387</v>
      </c>
      <c r="M30" s="1"/>
      <c r="N30" s="1" t="s">
        <v>105</v>
      </c>
      <c r="O30" s="1" t="s">
        <v>372</v>
      </c>
      <c r="P30" s="1" t="s">
        <v>372</v>
      </c>
      <c r="Q30" s="1"/>
      <c r="R30" s="1"/>
      <c r="S30" s="1" t="s">
        <v>105</v>
      </c>
      <c r="T30" s="1" t="s">
        <v>105</v>
      </c>
      <c r="U30" s="1" t="s">
        <v>372</v>
      </c>
      <c r="V30" s="1"/>
      <c r="W30" s="1"/>
      <c r="X30" s="1" t="s">
        <v>372</v>
      </c>
      <c r="Y30" s="1" t="s">
        <v>105</v>
      </c>
      <c r="Z30" s="1"/>
      <c r="AA30" s="1"/>
      <c r="AB30" s="1"/>
      <c r="AC30" s="1"/>
      <c r="AD30" s="1"/>
      <c r="AE30" s="1" t="s">
        <v>105</v>
      </c>
      <c r="AF30" s="1" t="s">
        <v>105</v>
      </c>
      <c r="AG30" s="1"/>
      <c r="AH30" s="1"/>
      <c r="AI30" s="61"/>
    </row>
    <row r="31" spans="1:35" s="93" customFormat="1" ht="30">
      <c r="A31" s="1"/>
      <c r="B31" s="107" t="s">
        <v>97</v>
      </c>
      <c r="C31" s="14" t="s">
        <v>96</v>
      </c>
      <c r="D31" s="289" t="s">
        <v>388</v>
      </c>
      <c r="E31" s="12" t="s">
        <v>344</v>
      </c>
      <c r="F31" s="1" t="s">
        <v>12</v>
      </c>
      <c r="G31" s="55" t="s">
        <v>11</v>
      </c>
      <c r="H31" s="55" t="s">
        <v>101</v>
      </c>
      <c r="I31" s="12" t="s">
        <v>112</v>
      </c>
      <c r="J31" s="12" t="s">
        <v>383</v>
      </c>
      <c r="K31" s="12"/>
      <c r="L31" s="11" t="s">
        <v>389</v>
      </c>
      <c r="M31" s="1"/>
      <c r="N31" s="1" t="s">
        <v>105</v>
      </c>
      <c r="O31" s="1"/>
      <c r="P31" s="1" t="s">
        <v>372</v>
      </c>
      <c r="Q31" s="1"/>
      <c r="R31" s="1"/>
      <c r="S31" s="1" t="s">
        <v>105</v>
      </c>
      <c r="T31" s="1" t="s">
        <v>105</v>
      </c>
      <c r="U31" s="1" t="s">
        <v>105</v>
      </c>
      <c r="V31" s="1"/>
      <c r="W31" s="1"/>
      <c r="X31" s="1" t="s">
        <v>373</v>
      </c>
      <c r="Y31" s="1" t="s">
        <v>105</v>
      </c>
      <c r="Z31" s="1"/>
      <c r="AA31" s="1"/>
      <c r="AB31" s="1"/>
      <c r="AC31" s="1"/>
      <c r="AD31" s="1"/>
      <c r="AE31" s="1" t="s">
        <v>105</v>
      </c>
      <c r="AF31" s="1" t="s">
        <v>105</v>
      </c>
      <c r="AG31" s="1"/>
      <c r="AH31" s="1"/>
      <c r="AI31" s="61"/>
    </row>
    <row r="32" spans="1:35" s="93" customFormat="1" ht="30">
      <c r="A32" s="1"/>
      <c r="B32" s="107" t="s">
        <v>97</v>
      </c>
      <c r="C32" s="1" t="s">
        <v>97</v>
      </c>
      <c r="D32" s="289" t="s">
        <v>390</v>
      </c>
      <c r="E32" s="12" t="s">
        <v>344</v>
      </c>
      <c r="F32" s="1" t="s">
        <v>12</v>
      </c>
      <c r="G32" s="55" t="s">
        <v>11</v>
      </c>
      <c r="H32" s="55" t="s">
        <v>101</v>
      </c>
      <c r="I32" s="12" t="s">
        <v>112</v>
      </c>
      <c r="J32" s="55" t="s">
        <v>383</v>
      </c>
      <c r="K32" s="55"/>
      <c r="L32" s="55" t="s">
        <v>391</v>
      </c>
      <c r="M32" s="1"/>
      <c r="N32" s="1"/>
      <c r="O32" s="1"/>
      <c r="P32" s="1" t="s">
        <v>372</v>
      </c>
      <c r="Q32" s="1"/>
      <c r="R32" s="1"/>
      <c r="S32" s="1" t="s">
        <v>105</v>
      </c>
      <c r="T32" s="1" t="s">
        <v>105</v>
      </c>
      <c r="U32" s="1" t="s">
        <v>105</v>
      </c>
      <c r="V32" s="1" t="s">
        <v>372</v>
      </c>
      <c r="W32" s="1"/>
      <c r="X32" s="1"/>
      <c r="Y32" s="1" t="s">
        <v>105</v>
      </c>
      <c r="Z32" s="1"/>
      <c r="AA32" s="1"/>
      <c r="AB32" s="1" t="s">
        <v>372</v>
      </c>
      <c r="AC32" s="1"/>
      <c r="AD32" s="1"/>
      <c r="AE32" s="1" t="s">
        <v>105</v>
      </c>
      <c r="AF32" s="1" t="s">
        <v>105</v>
      </c>
      <c r="AG32" s="1"/>
      <c r="AH32" s="1"/>
      <c r="AI32" s="61"/>
    </row>
    <row r="33" spans="1:35" s="93" customFormat="1" ht="30">
      <c r="A33" s="1"/>
      <c r="B33" s="107" t="s">
        <v>307</v>
      </c>
      <c r="C33" s="1" t="s">
        <v>307</v>
      </c>
      <c r="D33" s="295" t="s">
        <v>392</v>
      </c>
      <c r="E33" s="12" t="s">
        <v>336</v>
      </c>
      <c r="F33" s="1" t="s">
        <v>12</v>
      </c>
      <c r="G33" s="55" t="s">
        <v>11</v>
      </c>
      <c r="H33" s="55" t="s">
        <v>145</v>
      </c>
      <c r="I33" s="12" t="s">
        <v>119</v>
      </c>
      <c r="J33" s="12" t="s">
        <v>107</v>
      </c>
      <c r="K33" s="12" t="s">
        <v>337</v>
      </c>
      <c r="L33" s="1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61"/>
    </row>
    <row r="34" spans="1:35" s="93" customFormat="1" ht="30">
      <c r="A34" s="1"/>
      <c r="B34" s="107" t="s">
        <v>97</v>
      </c>
      <c r="C34" s="1" t="s">
        <v>97</v>
      </c>
      <c r="D34" s="55" t="s">
        <v>393</v>
      </c>
      <c r="E34" s="12" t="s">
        <v>344</v>
      </c>
      <c r="F34" s="1" t="s">
        <v>12</v>
      </c>
      <c r="G34" s="55" t="s">
        <v>11</v>
      </c>
      <c r="H34" s="55" t="s">
        <v>101</v>
      </c>
      <c r="I34" s="12" t="s">
        <v>112</v>
      </c>
      <c r="J34" s="12" t="s">
        <v>107</v>
      </c>
      <c r="K34" s="12"/>
      <c r="L34" s="55" t="s">
        <v>362</v>
      </c>
      <c r="M34" s="14"/>
      <c r="N34" s="14"/>
      <c r="O34" s="14"/>
      <c r="P34" s="14"/>
      <c r="Q34" s="14"/>
      <c r="R34" s="14"/>
      <c r="S34" s="14" t="s">
        <v>105</v>
      </c>
      <c r="T34" s="14"/>
      <c r="U34" s="14"/>
      <c r="V34" s="14"/>
      <c r="W34" s="14"/>
      <c r="X34" s="14"/>
      <c r="Y34" s="14"/>
      <c r="Z34" s="14"/>
      <c r="AA34" s="14"/>
      <c r="AB34" s="14"/>
      <c r="AC34" s="1"/>
      <c r="AD34" s="1"/>
      <c r="AE34" s="1"/>
      <c r="AF34" s="1"/>
      <c r="AG34" s="1"/>
      <c r="AH34" s="1"/>
      <c r="AI34" s="61"/>
    </row>
    <row r="35" spans="1:35" s="93" customFormat="1" ht="30">
      <c r="A35" s="1"/>
      <c r="B35" s="107" t="s">
        <v>307</v>
      </c>
      <c r="C35" s="1" t="s">
        <v>307</v>
      </c>
      <c r="D35" s="295" t="s">
        <v>394</v>
      </c>
      <c r="E35" s="12" t="s">
        <v>336</v>
      </c>
      <c r="F35" s="1" t="s">
        <v>12</v>
      </c>
      <c r="G35" s="55" t="s">
        <v>11</v>
      </c>
      <c r="H35" s="55" t="s">
        <v>145</v>
      </c>
      <c r="I35" s="12" t="s">
        <v>112</v>
      </c>
      <c r="J35" s="12" t="s">
        <v>314</v>
      </c>
      <c r="K35" s="12" t="s">
        <v>337</v>
      </c>
      <c r="L35" s="1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61"/>
    </row>
    <row r="36" spans="1:35" s="93" customFormat="1" ht="30">
      <c r="A36" s="1"/>
      <c r="B36" s="107" t="s">
        <v>96</v>
      </c>
      <c r="C36" s="1" t="s">
        <v>97</v>
      </c>
      <c r="D36" s="291" t="s">
        <v>395</v>
      </c>
      <c r="E36" s="12" t="s">
        <v>344</v>
      </c>
      <c r="F36" s="1" t="s">
        <v>12</v>
      </c>
      <c r="G36" s="55" t="s">
        <v>11</v>
      </c>
      <c r="H36" s="55" t="s">
        <v>101</v>
      </c>
      <c r="I36" s="12" t="s">
        <v>112</v>
      </c>
      <c r="J36" s="12" t="s">
        <v>107</v>
      </c>
      <c r="K36" s="12"/>
      <c r="L36" s="55" t="s">
        <v>396</v>
      </c>
      <c r="M36" s="14"/>
      <c r="N36" s="14"/>
      <c r="O36" s="14"/>
      <c r="P36" s="14"/>
      <c r="Q36" s="14"/>
      <c r="R36" s="14"/>
      <c r="S36" s="14" t="s">
        <v>105</v>
      </c>
      <c r="T36" s="14" t="s">
        <v>105</v>
      </c>
      <c r="U36" s="14"/>
      <c r="V36" s="14"/>
      <c r="W36" s="14"/>
      <c r="X36" s="14"/>
      <c r="Y36" s="14" t="s">
        <v>105</v>
      </c>
      <c r="Z36" s="14"/>
      <c r="AA36" s="14"/>
      <c r="AB36" s="14"/>
      <c r="AC36" s="1" t="s">
        <v>105</v>
      </c>
      <c r="AD36" s="1"/>
      <c r="AE36" s="1"/>
      <c r="AF36" s="1"/>
      <c r="AG36" s="1"/>
      <c r="AH36" s="1"/>
      <c r="AI36" s="61"/>
    </row>
    <row r="37" spans="1:35" s="93" customFormat="1" ht="30">
      <c r="A37" s="1"/>
      <c r="B37" s="107" t="s">
        <v>97</v>
      </c>
      <c r="C37" s="1" t="s">
        <v>97</v>
      </c>
      <c r="D37" s="290" t="s">
        <v>397</v>
      </c>
      <c r="E37" s="12" t="s">
        <v>357</v>
      </c>
      <c r="F37" s="1" t="s">
        <v>12</v>
      </c>
      <c r="G37" s="55" t="s">
        <v>11</v>
      </c>
      <c r="H37" s="55" t="s">
        <v>101</v>
      </c>
      <c r="I37" s="12" t="s">
        <v>112</v>
      </c>
      <c r="J37" s="12" t="s">
        <v>107</v>
      </c>
      <c r="K37" s="12" t="s">
        <v>376</v>
      </c>
      <c r="L37" s="11" t="s">
        <v>362</v>
      </c>
      <c r="M37" s="1"/>
      <c r="N37" s="1"/>
      <c r="O37" s="1"/>
      <c r="P37" s="1"/>
      <c r="Q37" s="1"/>
      <c r="R37" s="1"/>
      <c r="S37" s="1" t="s">
        <v>105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61"/>
    </row>
    <row r="38" spans="1:35" s="93" customFormat="1" ht="30">
      <c r="A38" s="1"/>
      <c r="B38" s="107" t="s">
        <v>97</v>
      </c>
      <c r="C38" s="1" t="s">
        <v>97</v>
      </c>
      <c r="D38" s="12" t="s">
        <v>398</v>
      </c>
      <c r="E38" s="12" t="s">
        <v>399</v>
      </c>
      <c r="F38" s="1" t="s">
        <v>12</v>
      </c>
      <c r="G38" s="55" t="s">
        <v>11</v>
      </c>
      <c r="H38" s="55" t="s">
        <v>101</v>
      </c>
      <c r="I38" s="12" t="s">
        <v>112</v>
      </c>
      <c r="J38" s="12" t="s">
        <v>114</v>
      </c>
      <c r="K38" s="12"/>
      <c r="L38" s="11" t="s">
        <v>400</v>
      </c>
      <c r="M38" s="1"/>
      <c r="N38" s="1"/>
      <c r="O38" s="1"/>
      <c r="P38" s="1"/>
      <c r="Q38" s="1"/>
      <c r="R38" s="1"/>
      <c r="S38" s="1" t="s">
        <v>105</v>
      </c>
      <c r="T38" s="1" t="s">
        <v>401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61"/>
    </row>
    <row r="39" spans="1:35" s="93" customFormat="1" ht="30">
      <c r="A39" s="1"/>
      <c r="B39" s="107" t="s">
        <v>97</v>
      </c>
      <c r="C39" s="1" t="s">
        <v>97</v>
      </c>
      <c r="D39" s="290" t="s">
        <v>402</v>
      </c>
      <c r="E39" s="12" t="s">
        <v>403</v>
      </c>
      <c r="F39" s="1" t="s">
        <v>12</v>
      </c>
      <c r="G39" s="55" t="s">
        <v>11</v>
      </c>
      <c r="H39" s="12" t="s">
        <v>101</v>
      </c>
      <c r="I39" s="12" t="s">
        <v>112</v>
      </c>
      <c r="J39" s="12" t="s">
        <v>107</v>
      </c>
      <c r="K39" s="12" t="s">
        <v>376</v>
      </c>
      <c r="L39" s="11" t="s">
        <v>362</v>
      </c>
      <c r="M39" s="1"/>
      <c r="N39" s="1"/>
      <c r="O39" s="1"/>
      <c r="P39" s="1"/>
      <c r="Q39" s="1"/>
      <c r="R39" s="1"/>
      <c r="S39" s="1" t="s">
        <v>105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61"/>
    </row>
    <row r="40" spans="1:35" s="93" customFormat="1" ht="30">
      <c r="A40" s="1"/>
      <c r="B40" s="107" t="s">
        <v>96</v>
      </c>
      <c r="C40" s="1" t="s">
        <v>97</v>
      </c>
      <c r="D40" s="290" t="s">
        <v>404</v>
      </c>
      <c r="E40" s="12" t="s">
        <v>405</v>
      </c>
      <c r="F40" s="1" t="s">
        <v>12</v>
      </c>
      <c r="G40" s="55" t="s">
        <v>11</v>
      </c>
      <c r="H40" s="55" t="s">
        <v>101</v>
      </c>
      <c r="I40" s="12" t="s">
        <v>112</v>
      </c>
      <c r="J40" s="12" t="s">
        <v>107</v>
      </c>
      <c r="K40" s="12" t="s">
        <v>376</v>
      </c>
      <c r="L40" s="11" t="s">
        <v>362</v>
      </c>
      <c r="M40" s="1"/>
      <c r="N40" s="1"/>
      <c r="O40" s="1"/>
      <c r="P40" s="1"/>
      <c r="Q40" s="1"/>
      <c r="R40" s="1"/>
      <c r="S40" s="1" t="s">
        <v>105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61"/>
    </row>
    <row r="41" spans="1:35" s="93" customFormat="1" ht="45">
      <c r="A41" s="1"/>
      <c r="B41" s="107" t="s">
        <v>307</v>
      </c>
      <c r="C41" s="1" t="s">
        <v>307</v>
      </c>
      <c r="D41" s="295" t="s">
        <v>406</v>
      </c>
      <c r="E41" s="12" t="s">
        <v>336</v>
      </c>
      <c r="F41" s="1" t="s">
        <v>12</v>
      </c>
      <c r="G41" s="55" t="s">
        <v>11</v>
      </c>
      <c r="H41" s="55" t="s">
        <v>145</v>
      </c>
      <c r="I41" s="12" t="s">
        <v>323</v>
      </c>
      <c r="J41" s="12" t="s">
        <v>314</v>
      </c>
      <c r="K41" s="12" t="s">
        <v>407</v>
      </c>
      <c r="L41" s="1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61"/>
    </row>
    <row r="42" spans="1:35" s="93" customFormat="1" ht="60">
      <c r="A42" s="1"/>
      <c r="B42" s="107" t="s">
        <v>97</v>
      </c>
      <c r="C42" s="1" t="s">
        <v>97</v>
      </c>
      <c r="D42" s="12" t="s">
        <v>411</v>
      </c>
      <c r="E42" s="12" t="s">
        <v>344</v>
      </c>
      <c r="F42" s="1"/>
      <c r="G42" s="55"/>
      <c r="H42" s="55" t="s">
        <v>145</v>
      </c>
      <c r="I42" s="12" t="s">
        <v>119</v>
      </c>
      <c r="J42" s="12" t="s">
        <v>107</v>
      </c>
      <c r="K42" s="12" t="s">
        <v>412</v>
      </c>
      <c r="L42" s="11" t="s">
        <v>147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61"/>
    </row>
    <row r="43" spans="1:35" s="93" customFormat="1" ht="30">
      <c r="A43" s="1"/>
      <c r="B43" s="107" t="s">
        <v>97</v>
      </c>
      <c r="C43" s="1" t="s">
        <v>97</v>
      </c>
      <c r="D43" s="12" t="s">
        <v>421</v>
      </c>
      <c r="E43" s="12" t="s">
        <v>422</v>
      </c>
      <c r="F43" s="14" t="s">
        <v>12</v>
      </c>
      <c r="G43" s="55" t="s">
        <v>11</v>
      </c>
      <c r="H43" s="11" t="s">
        <v>145</v>
      </c>
      <c r="I43" s="12" t="s">
        <v>119</v>
      </c>
      <c r="J43" s="12" t="s">
        <v>107</v>
      </c>
      <c r="K43" s="12"/>
      <c r="L43" s="11" t="s">
        <v>147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61"/>
    </row>
    <row r="44" spans="1:35" s="93" customFormat="1" ht="30">
      <c r="A44" s="1"/>
      <c r="B44" s="107" t="s">
        <v>97</v>
      </c>
      <c r="C44" s="1" t="s">
        <v>96</v>
      </c>
      <c r="D44" s="289" t="s">
        <v>428</v>
      </c>
      <c r="E44" s="12" t="s">
        <v>405</v>
      </c>
      <c r="F44" s="1" t="s">
        <v>12</v>
      </c>
      <c r="G44" s="55" t="s">
        <v>11</v>
      </c>
      <c r="H44" s="12" t="s">
        <v>145</v>
      </c>
      <c r="I44" s="12" t="s">
        <v>119</v>
      </c>
      <c r="J44" s="12" t="s">
        <v>107</v>
      </c>
      <c r="K44" s="12"/>
      <c r="L44" s="11" t="s">
        <v>147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61"/>
    </row>
    <row r="45" spans="1:35" s="93" customFormat="1" ht="30">
      <c r="A45" s="1"/>
      <c r="B45" s="107" t="s">
        <v>97</v>
      </c>
      <c r="C45" s="1" t="s">
        <v>96</v>
      </c>
      <c r="D45" s="12" t="s">
        <v>429</v>
      </c>
      <c r="E45" s="12" t="s">
        <v>422</v>
      </c>
      <c r="F45" s="1" t="s">
        <v>12</v>
      </c>
      <c r="G45" s="55" t="s">
        <v>11</v>
      </c>
      <c r="H45" s="55" t="s">
        <v>101</v>
      </c>
      <c r="I45" s="12" t="s">
        <v>119</v>
      </c>
      <c r="J45" s="12" t="s">
        <v>194</v>
      </c>
      <c r="K45" s="12"/>
      <c r="L45" s="11" t="s">
        <v>430</v>
      </c>
      <c r="M45" s="1"/>
      <c r="N45" s="1" t="s">
        <v>122</v>
      </c>
      <c r="O45" s="1"/>
      <c r="P45" s="1"/>
      <c r="Q45" s="1"/>
      <c r="R45" s="1"/>
      <c r="S45" s="1" t="s">
        <v>105</v>
      </c>
      <c r="T45" s="1" t="s">
        <v>105</v>
      </c>
      <c r="U45" s="1"/>
      <c r="V45" s="1"/>
      <c r="W45" s="1"/>
      <c r="X45" s="1"/>
      <c r="Y45" s="1"/>
      <c r="Z45" s="1" t="s">
        <v>122</v>
      </c>
      <c r="AA45" s="1"/>
      <c r="AB45" s="1"/>
      <c r="AC45" s="1" t="s">
        <v>105</v>
      </c>
      <c r="AD45" s="1"/>
      <c r="AE45" s="1"/>
      <c r="AF45" s="1"/>
      <c r="AG45" s="1"/>
      <c r="AH45" s="1"/>
      <c r="AI45" s="61"/>
    </row>
    <row r="46" spans="1:35" s="93" customFormat="1" ht="30">
      <c r="A46" s="1"/>
      <c r="B46" s="107" t="s">
        <v>97</v>
      </c>
      <c r="C46" s="1" t="s">
        <v>96</v>
      </c>
      <c r="D46" s="12" t="s">
        <v>433</v>
      </c>
      <c r="E46" s="12" t="s">
        <v>422</v>
      </c>
      <c r="F46" s="1" t="s">
        <v>12</v>
      </c>
      <c r="G46" s="55" t="s">
        <v>11</v>
      </c>
      <c r="H46" s="55" t="s">
        <v>145</v>
      </c>
      <c r="I46" s="12" t="s">
        <v>151</v>
      </c>
      <c r="J46" s="12" t="s">
        <v>107</v>
      </c>
      <c r="K46" s="12"/>
      <c r="L46" s="11" t="s">
        <v>147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61"/>
    </row>
    <row r="47" spans="1:35" s="93" customFormat="1">
      <c r="A47" s="1"/>
      <c r="B47" s="107" t="s">
        <v>97</v>
      </c>
      <c r="C47" s="1" t="s">
        <v>97</v>
      </c>
      <c r="D47" s="12" t="s">
        <v>438</v>
      </c>
      <c r="E47" s="12" t="s">
        <v>422</v>
      </c>
      <c r="F47" s="1"/>
      <c r="G47" s="55"/>
      <c r="H47" s="55" t="s">
        <v>101</v>
      </c>
      <c r="I47" s="12" t="s">
        <v>112</v>
      </c>
      <c r="J47" s="12" t="s">
        <v>107</v>
      </c>
      <c r="K47" s="12"/>
      <c r="L47" s="11" t="s">
        <v>439</v>
      </c>
      <c r="M47" s="1"/>
      <c r="N47" s="1" t="s">
        <v>401</v>
      </c>
      <c r="O47" s="1"/>
      <c r="P47" s="1"/>
      <c r="Q47" s="1"/>
      <c r="R47" s="1"/>
      <c r="S47" s="1" t="s">
        <v>105</v>
      </c>
      <c r="T47" s="1" t="s">
        <v>105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61"/>
    </row>
    <row r="48" spans="1:35" s="93" customFormat="1" ht="30">
      <c r="A48" s="1"/>
      <c r="B48" s="107" t="s">
        <v>97</v>
      </c>
      <c r="C48" s="1" t="s">
        <v>96</v>
      </c>
      <c r="D48" s="11" t="s">
        <v>447</v>
      </c>
      <c r="E48" s="12" t="s">
        <v>344</v>
      </c>
      <c r="F48" s="1" t="s">
        <v>12</v>
      </c>
      <c r="G48" s="55" t="s">
        <v>11</v>
      </c>
      <c r="H48" s="12" t="s">
        <v>145</v>
      </c>
      <c r="I48" s="12" t="s">
        <v>119</v>
      </c>
      <c r="J48" s="12" t="s">
        <v>107</v>
      </c>
      <c r="K48" s="12"/>
      <c r="L48" s="11" t="s">
        <v>147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61"/>
    </row>
    <row r="49" spans="1:35" s="93" customFormat="1" ht="30">
      <c r="A49" s="1"/>
      <c r="B49" s="107" t="s">
        <v>97</v>
      </c>
      <c r="C49" s="1" t="s">
        <v>97</v>
      </c>
      <c r="D49" s="12" t="s">
        <v>448</v>
      </c>
      <c r="E49" s="12" t="s">
        <v>449</v>
      </c>
      <c r="F49" s="1" t="s">
        <v>12</v>
      </c>
      <c r="G49" s="55" t="s">
        <v>11</v>
      </c>
      <c r="H49" s="12" t="s">
        <v>145</v>
      </c>
      <c r="I49" s="12" t="s">
        <v>112</v>
      </c>
      <c r="J49" s="12" t="s">
        <v>107</v>
      </c>
      <c r="K49" s="12"/>
      <c r="L49" s="11" t="s">
        <v>147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61"/>
    </row>
    <row r="50" spans="1:35" s="93" customFormat="1" ht="30">
      <c r="A50" s="1"/>
      <c r="B50" s="107" t="s">
        <v>97</v>
      </c>
      <c r="C50" s="1" t="s">
        <v>96</v>
      </c>
      <c r="D50" s="289" t="s">
        <v>450</v>
      </c>
      <c r="E50" s="12" t="s">
        <v>403</v>
      </c>
      <c r="F50" s="1" t="s">
        <v>12</v>
      </c>
      <c r="G50" s="55" t="s">
        <v>11</v>
      </c>
      <c r="H50" s="55" t="s">
        <v>145</v>
      </c>
      <c r="I50" s="12" t="s">
        <v>119</v>
      </c>
      <c r="J50" s="12" t="s">
        <v>107</v>
      </c>
      <c r="K50" s="12"/>
      <c r="L50" s="11" t="s">
        <v>147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61"/>
    </row>
    <row r="51" spans="1:35" s="93" customFormat="1" ht="30">
      <c r="A51" s="1"/>
      <c r="B51" s="107" t="s">
        <v>97</v>
      </c>
      <c r="C51" s="1" t="s">
        <v>97</v>
      </c>
      <c r="D51" s="55" t="s">
        <v>451</v>
      </c>
      <c r="E51" s="12" t="s">
        <v>405</v>
      </c>
      <c r="F51" s="1" t="s">
        <v>12</v>
      </c>
      <c r="G51" s="55" t="s">
        <v>11</v>
      </c>
      <c r="H51" s="55" t="s">
        <v>145</v>
      </c>
      <c r="I51" s="12" t="s">
        <v>112</v>
      </c>
      <c r="J51" s="12" t="s">
        <v>107</v>
      </c>
      <c r="K51" s="12" t="s">
        <v>452</v>
      </c>
      <c r="L51" s="11" t="s">
        <v>147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61"/>
    </row>
    <row r="52" spans="1:35" s="93" customFormat="1" ht="30">
      <c r="A52" s="1"/>
      <c r="B52" s="107" t="s">
        <v>97</v>
      </c>
      <c r="C52" s="1" t="s">
        <v>97</v>
      </c>
      <c r="D52" s="12" t="s">
        <v>453</v>
      </c>
      <c r="E52" s="12" t="s">
        <v>422</v>
      </c>
      <c r="F52" s="1" t="s">
        <v>12</v>
      </c>
      <c r="G52" s="55" t="s">
        <v>11</v>
      </c>
      <c r="H52" s="55" t="s">
        <v>101</v>
      </c>
      <c r="I52" s="12" t="s">
        <v>112</v>
      </c>
      <c r="J52" s="12" t="s">
        <v>194</v>
      </c>
      <c r="K52" s="12"/>
      <c r="L52" s="11" t="s">
        <v>454</v>
      </c>
      <c r="M52" s="1"/>
      <c r="N52" s="1"/>
      <c r="O52" s="1"/>
      <c r="P52" s="1"/>
      <c r="Q52" s="1"/>
      <c r="R52" s="1"/>
      <c r="S52" s="1" t="s">
        <v>105</v>
      </c>
      <c r="T52" s="1" t="s">
        <v>105</v>
      </c>
      <c r="U52" s="1"/>
      <c r="V52" s="1"/>
      <c r="W52" s="1"/>
      <c r="X52" s="1"/>
      <c r="Y52" s="1"/>
      <c r="Z52" s="1"/>
      <c r="AA52" s="1"/>
      <c r="AB52" s="1"/>
      <c r="AC52" s="1" t="s">
        <v>105</v>
      </c>
      <c r="AD52" s="1"/>
      <c r="AE52" s="1"/>
      <c r="AF52" s="1"/>
      <c r="AG52" s="1"/>
      <c r="AH52" s="1"/>
      <c r="AI52" s="61"/>
    </row>
    <row r="53" spans="1:35" s="93" customFormat="1" ht="60">
      <c r="A53" s="1"/>
      <c r="B53" s="107" t="s">
        <v>96</v>
      </c>
      <c r="C53" s="1" t="s">
        <v>97</v>
      </c>
      <c r="D53" s="286" t="s">
        <v>457</v>
      </c>
      <c r="E53" s="12"/>
      <c r="F53" s="1" t="s">
        <v>12</v>
      </c>
      <c r="G53" s="55" t="s">
        <v>458</v>
      </c>
      <c r="H53" s="55"/>
      <c r="I53" s="12"/>
      <c r="J53" s="12"/>
      <c r="K53" s="287" t="s">
        <v>459</v>
      </c>
      <c r="L53" s="1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61"/>
    </row>
    <row r="54" spans="1:35" s="93" customFormat="1" ht="30">
      <c r="A54" s="1"/>
      <c r="B54" s="107" t="s">
        <v>307</v>
      </c>
      <c r="C54" s="1" t="s">
        <v>307</v>
      </c>
      <c r="D54" s="293" t="s">
        <v>461</v>
      </c>
      <c r="E54" s="12" t="s">
        <v>331</v>
      </c>
      <c r="F54" s="1" t="s">
        <v>310</v>
      </c>
      <c r="G54" s="55" t="s">
        <v>311</v>
      </c>
      <c r="H54" s="55" t="s">
        <v>312</v>
      </c>
      <c r="I54" s="12" t="s">
        <v>313</v>
      </c>
      <c r="J54" s="12"/>
      <c r="K54" s="12" t="s">
        <v>332</v>
      </c>
      <c r="L54" s="1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61"/>
    </row>
    <row r="55" spans="1:35" s="93" customFormat="1" ht="30">
      <c r="A55" s="1"/>
      <c r="B55" s="107" t="s">
        <v>307</v>
      </c>
      <c r="C55" s="1" t="s">
        <v>307</v>
      </c>
      <c r="D55" s="293" t="s">
        <v>462</v>
      </c>
      <c r="E55" s="12" t="s">
        <v>331</v>
      </c>
      <c r="F55" s="1" t="s">
        <v>310</v>
      </c>
      <c r="G55" s="55" t="s">
        <v>311</v>
      </c>
      <c r="H55" s="55" t="s">
        <v>322</v>
      </c>
      <c r="I55" s="12" t="s">
        <v>119</v>
      </c>
      <c r="J55" s="12"/>
      <c r="K55" s="12" t="s">
        <v>332</v>
      </c>
      <c r="L55" s="1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61"/>
    </row>
    <row r="56" spans="1:35" s="93" customFormat="1" ht="30">
      <c r="A56" s="1"/>
      <c r="B56" s="107" t="s">
        <v>307</v>
      </c>
      <c r="C56" s="1" t="s">
        <v>307</v>
      </c>
      <c r="D56" s="293" t="s">
        <v>463</v>
      </c>
      <c r="E56" s="12" t="s">
        <v>331</v>
      </c>
      <c r="F56" s="1" t="s">
        <v>310</v>
      </c>
      <c r="G56" s="55" t="s">
        <v>311</v>
      </c>
      <c r="H56" s="55" t="s">
        <v>322</v>
      </c>
      <c r="I56" s="12" t="s">
        <v>119</v>
      </c>
      <c r="J56" s="12"/>
      <c r="K56" s="12" t="s">
        <v>332</v>
      </c>
      <c r="L56" s="1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61"/>
    </row>
    <row r="57" spans="1:35" s="93" customFormat="1" ht="30">
      <c r="A57" s="1"/>
      <c r="B57" s="107" t="s">
        <v>307</v>
      </c>
      <c r="C57" s="1" t="s">
        <v>307</v>
      </c>
      <c r="D57" s="293" t="s">
        <v>464</v>
      </c>
      <c r="E57" s="12" t="s">
        <v>331</v>
      </c>
      <c r="F57" s="1" t="s">
        <v>310</v>
      </c>
      <c r="G57" s="55" t="s">
        <v>311</v>
      </c>
      <c r="H57" s="55" t="s">
        <v>322</v>
      </c>
      <c r="I57" s="12" t="s">
        <v>323</v>
      </c>
      <c r="J57" s="12"/>
      <c r="K57" s="12" t="s">
        <v>332</v>
      </c>
      <c r="L57" s="1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61"/>
    </row>
    <row r="58" spans="1:35" s="93" customFormat="1" ht="30">
      <c r="A58" s="1"/>
      <c r="B58" s="107" t="s">
        <v>97</v>
      </c>
      <c r="C58" s="1" t="s">
        <v>97</v>
      </c>
      <c r="D58" s="12" t="s">
        <v>465</v>
      </c>
      <c r="E58" s="12" t="s">
        <v>405</v>
      </c>
      <c r="F58" s="1" t="s">
        <v>12</v>
      </c>
      <c r="G58" s="55" t="s">
        <v>11</v>
      </c>
      <c r="H58" s="55" t="s">
        <v>101</v>
      </c>
      <c r="I58" s="12" t="s">
        <v>112</v>
      </c>
      <c r="J58" s="12" t="s">
        <v>114</v>
      </c>
      <c r="K58" s="12"/>
      <c r="L58" s="11" t="s">
        <v>362</v>
      </c>
      <c r="M58" s="1"/>
      <c r="N58" s="1"/>
      <c r="O58" s="1"/>
      <c r="P58" s="1"/>
      <c r="Q58" s="1"/>
      <c r="R58" s="1"/>
      <c r="S58" s="1" t="s">
        <v>105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61"/>
    </row>
    <row r="59" spans="1:35" s="93" customFormat="1" ht="30">
      <c r="A59" s="1"/>
      <c r="B59" s="107" t="s">
        <v>96</v>
      </c>
      <c r="C59" s="1" t="s">
        <v>96</v>
      </c>
      <c r="D59" s="11" t="s">
        <v>466</v>
      </c>
      <c r="E59" s="12" t="s">
        <v>405</v>
      </c>
      <c r="F59" s="1" t="s">
        <v>12</v>
      </c>
      <c r="G59" s="55" t="s">
        <v>11</v>
      </c>
      <c r="H59" s="55" t="s">
        <v>101</v>
      </c>
      <c r="I59" s="55" t="s">
        <v>119</v>
      </c>
      <c r="J59" s="12" t="s">
        <v>383</v>
      </c>
      <c r="K59" s="12"/>
      <c r="L59" s="55" t="s">
        <v>467</v>
      </c>
      <c r="M59" s="14"/>
      <c r="N59" s="14"/>
      <c r="O59" s="14" t="s">
        <v>105</v>
      </c>
      <c r="P59" s="14" t="s">
        <v>105</v>
      </c>
      <c r="Q59" s="14"/>
      <c r="R59" s="14"/>
      <c r="S59" s="14" t="s">
        <v>105</v>
      </c>
      <c r="T59" s="14" t="s">
        <v>105</v>
      </c>
      <c r="U59" s="14"/>
      <c r="V59" s="14"/>
      <c r="W59" s="14"/>
      <c r="X59" s="14"/>
      <c r="Y59" s="14"/>
      <c r="Z59" s="14" t="s">
        <v>105</v>
      </c>
      <c r="AA59" s="14"/>
      <c r="AB59" s="14"/>
      <c r="AC59" s="1"/>
      <c r="AD59" s="1" t="s">
        <v>105</v>
      </c>
      <c r="AE59" s="1"/>
      <c r="AF59" s="1"/>
      <c r="AG59" s="1"/>
      <c r="AH59" s="1"/>
      <c r="AI59" s="61"/>
    </row>
    <row r="60" spans="1:35" s="93" customFormat="1" ht="30">
      <c r="A60" s="1"/>
      <c r="B60" s="107" t="s">
        <v>97</v>
      </c>
      <c r="C60" s="1" t="s">
        <v>96</v>
      </c>
      <c r="D60" s="12" t="s">
        <v>468</v>
      </c>
      <c r="E60" s="12" t="s">
        <v>405</v>
      </c>
      <c r="F60" s="1"/>
      <c r="G60" s="55"/>
      <c r="H60" s="55" t="s">
        <v>101</v>
      </c>
      <c r="I60" s="55" t="s">
        <v>119</v>
      </c>
      <c r="J60" s="12" t="s">
        <v>114</v>
      </c>
      <c r="K60" s="12"/>
      <c r="L60" s="11" t="s">
        <v>469</v>
      </c>
      <c r="M60" s="1"/>
      <c r="N60" s="1"/>
      <c r="O60" s="1" t="s">
        <v>105</v>
      </c>
      <c r="P60" s="1"/>
      <c r="Q60" s="1"/>
      <c r="R60" s="1" t="s">
        <v>105</v>
      </c>
      <c r="S60" s="1" t="s">
        <v>105</v>
      </c>
      <c r="T60" s="1" t="s">
        <v>105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 t="s">
        <v>105</v>
      </c>
      <c r="AH60" s="1"/>
      <c r="AI60" s="61"/>
    </row>
    <row r="61" spans="1:35" s="93" customFormat="1" ht="30">
      <c r="A61" s="1"/>
      <c r="B61" s="107" t="s">
        <v>307</v>
      </c>
      <c r="C61" s="1" t="s">
        <v>307</v>
      </c>
      <c r="D61" s="293" t="s">
        <v>470</v>
      </c>
      <c r="E61" s="12" t="s">
        <v>331</v>
      </c>
      <c r="F61" s="1" t="s">
        <v>310</v>
      </c>
      <c r="G61" s="55" t="s">
        <v>311</v>
      </c>
      <c r="H61" s="55" t="s">
        <v>312</v>
      </c>
      <c r="I61" s="12" t="s">
        <v>313</v>
      </c>
      <c r="J61" s="12"/>
      <c r="K61" s="12" t="s">
        <v>332</v>
      </c>
      <c r="L61" s="1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61"/>
    </row>
    <row r="62" spans="1:35" s="93" customFormat="1" ht="30">
      <c r="A62" s="1"/>
      <c r="B62" s="107" t="s">
        <v>307</v>
      </c>
      <c r="C62" s="1" t="s">
        <v>307</v>
      </c>
      <c r="D62" s="293" t="s">
        <v>471</v>
      </c>
      <c r="E62" s="12" t="s">
        <v>331</v>
      </c>
      <c r="F62" s="1" t="s">
        <v>310</v>
      </c>
      <c r="G62" s="55" t="s">
        <v>311</v>
      </c>
      <c r="H62" s="55" t="s">
        <v>312</v>
      </c>
      <c r="I62" s="12" t="s">
        <v>313</v>
      </c>
      <c r="J62" s="12"/>
      <c r="K62" s="12" t="s">
        <v>332</v>
      </c>
      <c r="L62" s="1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61"/>
    </row>
    <row r="63" spans="1:35" s="93" customFormat="1" ht="30">
      <c r="A63" s="1"/>
      <c r="B63" s="107" t="s">
        <v>307</v>
      </c>
      <c r="C63" s="1" t="s">
        <v>307</v>
      </c>
      <c r="D63" s="293" t="s">
        <v>472</v>
      </c>
      <c r="E63" s="12" t="s">
        <v>331</v>
      </c>
      <c r="F63" s="1" t="s">
        <v>310</v>
      </c>
      <c r="G63" s="55" t="s">
        <v>311</v>
      </c>
      <c r="H63" s="55" t="s">
        <v>312</v>
      </c>
      <c r="I63" s="12" t="s">
        <v>313</v>
      </c>
      <c r="J63" s="12"/>
      <c r="K63" s="12" t="s">
        <v>332</v>
      </c>
      <c r="L63" s="1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61"/>
    </row>
    <row r="64" spans="1:35" s="93" customFormat="1" ht="30">
      <c r="A64" s="1"/>
      <c r="B64" s="107" t="s">
        <v>307</v>
      </c>
      <c r="C64" s="1" t="s">
        <v>307</v>
      </c>
      <c r="D64" s="293" t="s">
        <v>473</v>
      </c>
      <c r="E64" s="12" t="s">
        <v>331</v>
      </c>
      <c r="F64" s="1" t="s">
        <v>310</v>
      </c>
      <c r="G64" s="55" t="s">
        <v>311</v>
      </c>
      <c r="H64" s="55" t="s">
        <v>322</v>
      </c>
      <c r="I64" s="12" t="s">
        <v>323</v>
      </c>
      <c r="J64" s="12"/>
      <c r="K64" s="12" t="s">
        <v>332</v>
      </c>
      <c r="L64" s="1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61"/>
    </row>
    <row r="65" spans="1:35" s="93" customFormat="1" ht="30">
      <c r="A65" s="1"/>
      <c r="B65" s="107" t="s">
        <v>307</v>
      </c>
      <c r="C65" s="1" t="s">
        <v>307</v>
      </c>
      <c r="D65" s="295" t="s">
        <v>474</v>
      </c>
      <c r="E65" s="12" t="s">
        <v>336</v>
      </c>
      <c r="F65" s="1" t="s">
        <v>12</v>
      </c>
      <c r="G65" s="55" t="s">
        <v>11</v>
      </c>
      <c r="H65" s="55" t="s">
        <v>145</v>
      </c>
      <c r="I65" s="12" t="s">
        <v>323</v>
      </c>
      <c r="J65" s="12" t="s">
        <v>107</v>
      </c>
      <c r="K65" s="12" t="s">
        <v>337</v>
      </c>
      <c r="L65" s="1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61"/>
    </row>
    <row r="66" spans="1:35" ht="30">
      <c r="A66" s="1"/>
      <c r="B66" s="107" t="s">
        <v>307</v>
      </c>
      <c r="C66" s="1" t="s">
        <v>307</v>
      </c>
      <c r="D66" s="293" t="s">
        <v>475</v>
      </c>
      <c r="E66" s="12" t="s">
        <v>331</v>
      </c>
      <c r="F66" s="1" t="s">
        <v>310</v>
      </c>
      <c r="G66" s="55" t="s">
        <v>311</v>
      </c>
      <c r="H66" s="55" t="s">
        <v>322</v>
      </c>
      <c r="I66" s="12" t="s">
        <v>323</v>
      </c>
      <c r="J66" s="12"/>
      <c r="K66" s="12" t="s">
        <v>332</v>
      </c>
      <c r="L66" s="1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61"/>
    </row>
    <row r="67" spans="1:35" ht="30">
      <c r="A67" s="1"/>
      <c r="B67" s="107" t="s">
        <v>307</v>
      </c>
      <c r="C67" s="1" t="s">
        <v>307</v>
      </c>
      <c r="D67" s="293" t="s">
        <v>476</v>
      </c>
      <c r="E67" s="12" t="s">
        <v>331</v>
      </c>
      <c r="F67" s="1" t="s">
        <v>310</v>
      </c>
      <c r="G67" s="55" t="s">
        <v>311</v>
      </c>
      <c r="H67" s="55" t="s">
        <v>322</v>
      </c>
      <c r="I67" s="12" t="s">
        <v>323</v>
      </c>
      <c r="J67" s="12"/>
      <c r="K67" s="12" t="s">
        <v>332</v>
      </c>
      <c r="L67" s="1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61"/>
    </row>
    <row r="68" spans="1:35" ht="30">
      <c r="A68" s="1"/>
      <c r="B68" s="107" t="s">
        <v>307</v>
      </c>
      <c r="C68" s="1" t="s">
        <v>307</v>
      </c>
      <c r="D68" s="295" t="s">
        <v>479</v>
      </c>
      <c r="E68" s="12" t="s">
        <v>336</v>
      </c>
      <c r="F68" s="1" t="s">
        <v>12</v>
      </c>
      <c r="G68" s="55" t="s">
        <v>11</v>
      </c>
      <c r="H68" s="55" t="s">
        <v>145</v>
      </c>
      <c r="I68" s="12" t="s">
        <v>323</v>
      </c>
      <c r="J68" s="12" t="s">
        <v>314</v>
      </c>
      <c r="K68" s="12" t="s">
        <v>337</v>
      </c>
      <c r="L68" s="1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61"/>
    </row>
    <row r="69" spans="1:35">
      <c r="A69" s="1"/>
      <c r="B69" s="107" t="s">
        <v>96</v>
      </c>
      <c r="C69" s="1" t="s">
        <v>97</v>
      </c>
      <c r="D69" s="286" t="s">
        <v>484</v>
      </c>
      <c r="E69" s="12"/>
      <c r="F69" s="1"/>
      <c r="G69" s="55"/>
      <c r="H69" s="55"/>
      <c r="I69" s="12"/>
      <c r="J69" s="12"/>
      <c r="K69" s="12"/>
      <c r="L69" s="1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61"/>
    </row>
    <row r="70" spans="1:35" ht="30">
      <c r="A70" s="1"/>
      <c r="B70" s="107" t="s">
        <v>97</v>
      </c>
      <c r="C70" s="1" t="s">
        <v>97</v>
      </c>
      <c r="D70" s="290" t="s">
        <v>487</v>
      </c>
      <c r="E70" s="12" t="s">
        <v>317</v>
      </c>
      <c r="F70" s="1" t="s">
        <v>12</v>
      </c>
      <c r="G70" s="55" t="s">
        <v>11</v>
      </c>
      <c r="H70" s="55" t="s">
        <v>101</v>
      </c>
      <c r="I70" s="12" t="s">
        <v>318</v>
      </c>
      <c r="J70" s="12" t="s">
        <v>314</v>
      </c>
      <c r="K70" s="12"/>
      <c r="L70" s="1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61"/>
    </row>
    <row r="71" spans="1:35" ht="30">
      <c r="A71" s="1"/>
      <c r="B71" s="107" t="s">
        <v>307</v>
      </c>
      <c r="C71" s="1" t="s">
        <v>307</v>
      </c>
      <c r="D71" s="293" t="s">
        <v>488</v>
      </c>
      <c r="E71" s="12" t="s">
        <v>331</v>
      </c>
      <c r="F71" s="1" t="s">
        <v>310</v>
      </c>
      <c r="G71" s="55" t="s">
        <v>311</v>
      </c>
      <c r="H71" s="55" t="s">
        <v>322</v>
      </c>
      <c r="I71" s="12" t="s">
        <v>323</v>
      </c>
      <c r="J71" s="12"/>
      <c r="K71" s="12" t="s">
        <v>332</v>
      </c>
      <c r="L71" s="1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61"/>
    </row>
    <row r="72" spans="1:35" ht="30">
      <c r="A72" s="1"/>
      <c r="B72" s="107" t="s">
        <v>307</v>
      </c>
      <c r="C72" s="1" t="s">
        <v>307</v>
      </c>
      <c r="D72" s="293" t="s">
        <v>490</v>
      </c>
      <c r="E72" s="12" t="s">
        <v>309</v>
      </c>
      <c r="F72" s="1" t="s">
        <v>310</v>
      </c>
      <c r="G72" s="55" t="s">
        <v>311</v>
      </c>
      <c r="H72" s="55" t="s">
        <v>312</v>
      </c>
      <c r="I72" s="12" t="s">
        <v>313</v>
      </c>
      <c r="J72" s="12" t="s">
        <v>314</v>
      </c>
      <c r="K72" s="12" t="s">
        <v>315</v>
      </c>
      <c r="L72" s="1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61"/>
    </row>
    <row r="73" spans="1:35" ht="30">
      <c r="A73" s="1"/>
      <c r="B73" s="107" t="s">
        <v>307</v>
      </c>
      <c r="C73" s="1" t="s">
        <v>307</v>
      </c>
      <c r="D73" s="293" t="s">
        <v>491</v>
      </c>
      <c r="E73" s="12" t="s">
        <v>331</v>
      </c>
      <c r="F73" s="1" t="s">
        <v>310</v>
      </c>
      <c r="G73" s="55" t="s">
        <v>311</v>
      </c>
      <c r="H73" s="55" t="s">
        <v>312</v>
      </c>
      <c r="I73" s="12" t="s">
        <v>313</v>
      </c>
      <c r="J73" s="12" t="s">
        <v>314</v>
      </c>
      <c r="K73" s="12" t="s">
        <v>332</v>
      </c>
      <c r="L73" s="1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61"/>
    </row>
    <row r="74" spans="1:35" ht="30">
      <c r="A74" s="1"/>
      <c r="B74" s="107" t="s">
        <v>307</v>
      </c>
      <c r="C74" s="1" t="s">
        <v>307</v>
      </c>
      <c r="D74" s="293" t="s">
        <v>492</v>
      </c>
      <c r="E74" s="12" t="s">
        <v>309</v>
      </c>
      <c r="F74" s="1" t="s">
        <v>310</v>
      </c>
      <c r="G74" s="55" t="s">
        <v>311</v>
      </c>
      <c r="H74" s="55" t="s">
        <v>312</v>
      </c>
      <c r="I74" s="12" t="s">
        <v>313</v>
      </c>
      <c r="J74" s="12" t="s">
        <v>314</v>
      </c>
      <c r="K74" s="12" t="s">
        <v>315</v>
      </c>
      <c r="L74" s="1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61"/>
    </row>
    <row r="75" spans="1:35" ht="30">
      <c r="A75" s="1"/>
      <c r="B75" s="107" t="s">
        <v>307</v>
      </c>
      <c r="C75" s="1" t="s">
        <v>307</v>
      </c>
      <c r="D75" s="293" t="s">
        <v>493</v>
      </c>
      <c r="E75" s="12" t="s">
        <v>309</v>
      </c>
      <c r="F75" s="1" t="s">
        <v>310</v>
      </c>
      <c r="G75" s="55" t="s">
        <v>311</v>
      </c>
      <c r="H75" s="55" t="s">
        <v>312</v>
      </c>
      <c r="I75" s="12" t="s">
        <v>313</v>
      </c>
      <c r="J75" s="12" t="s">
        <v>314</v>
      </c>
      <c r="K75" s="12" t="s">
        <v>315</v>
      </c>
      <c r="L75" s="1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61"/>
    </row>
    <row r="76" spans="1:35" ht="30">
      <c r="A76" s="1"/>
      <c r="B76" s="292" t="s">
        <v>97</v>
      </c>
      <c r="C76" s="1" t="s">
        <v>97</v>
      </c>
      <c r="D76" s="295" t="s">
        <v>494</v>
      </c>
      <c r="E76" s="27" t="s">
        <v>317</v>
      </c>
      <c r="F76" s="28" t="s">
        <v>12</v>
      </c>
      <c r="G76" s="76" t="s">
        <v>11</v>
      </c>
      <c r="H76" s="76" t="s">
        <v>145</v>
      </c>
      <c r="I76" s="27" t="s">
        <v>318</v>
      </c>
      <c r="J76" s="27" t="s">
        <v>107</v>
      </c>
      <c r="K76" s="27" t="s">
        <v>495</v>
      </c>
      <c r="L76" s="35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60"/>
    </row>
    <row r="77" spans="1:35" ht="30">
      <c r="A77" s="1"/>
      <c r="B77" s="292" t="s">
        <v>307</v>
      </c>
      <c r="C77" s="28" t="s">
        <v>307</v>
      </c>
      <c r="D77" s="294" t="s">
        <v>496</v>
      </c>
      <c r="E77" s="27" t="s">
        <v>331</v>
      </c>
      <c r="F77" s="28" t="s">
        <v>310</v>
      </c>
      <c r="G77" s="76" t="s">
        <v>311</v>
      </c>
      <c r="H77" s="76" t="s">
        <v>322</v>
      </c>
      <c r="I77" s="27" t="s">
        <v>323</v>
      </c>
      <c r="J77" s="27"/>
      <c r="K77" s="27" t="s">
        <v>332</v>
      </c>
      <c r="L77" s="35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60"/>
    </row>
    <row r="78" spans="1:35" ht="30">
      <c r="A78" s="1"/>
      <c r="B78" s="292" t="s">
        <v>307</v>
      </c>
      <c r="C78" s="28" t="s">
        <v>307</v>
      </c>
      <c r="D78" s="294" t="s">
        <v>498</v>
      </c>
      <c r="E78" s="27" t="s">
        <v>309</v>
      </c>
      <c r="F78" s="28" t="s">
        <v>310</v>
      </c>
      <c r="G78" s="76" t="s">
        <v>311</v>
      </c>
      <c r="H78" s="76" t="s">
        <v>312</v>
      </c>
      <c r="I78" s="27" t="s">
        <v>313</v>
      </c>
      <c r="J78" s="27" t="s">
        <v>314</v>
      </c>
      <c r="K78" s="27" t="s">
        <v>315</v>
      </c>
      <c r="L78" s="35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60"/>
    </row>
    <row r="79" spans="1:35" ht="30">
      <c r="A79" s="1"/>
      <c r="B79" s="107" t="s">
        <v>307</v>
      </c>
      <c r="C79" s="1" t="s">
        <v>307</v>
      </c>
      <c r="D79" s="295" t="s">
        <v>502</v>
      </c>
      <c r="E79" s="12" t="s">
        <v>336</v>
      </c>
      <c r="F79" s="1" t="s">
        <v>12</v>
      </c>
      <c r="G79" s="55" t="s">
        <v>11</v>
      </c>
      <c r="H79" s="76" t="s">
        <v>145</v>
      </c>
      <c r="I79" s="12" t="s">
        <v>323</v>
      </c>
      <c r="J79" s="12" t="s">
        <v>314</v>
      </c>
      <c r="K79" s="12" t="s">
        <v>337</v>
      </c>
      <c r="L79" s="1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61"/>
    </row>
    <row r="80" spans="1:35" ht="30">
      <c r="A80" s="1"/>
      <c r="B80" s="107" t="s">
        <v>307</v>
      </c>
      <c r="C80" s="1" t="s">
        <v>307</v>
      </c>
      <c r="D80" s="293" t="s">
        <v>505</v>
      </c>
      <c r="E80" s="12" t="s">
        <v>331</v>
      </c>
      <c r="F80" s="1" t="s">
        <v>310</v>
      </c>
      <c r="G80" s="55" t="s">
        <v>311</v>
      </c>
      <c r="H80" s="55" t="s">
        <v>312</v>
      </c>
      <c r="I80" s="12" t="s">
        <v>313</v>
      </c>
      <c r="J80" s="12" t="s">
        <v>314</v>
      </c>
      <c r="K80" s="12" t="s">
        <v>332</v>
      </c>
      <c r="L80" s="1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61"/>
    </row>
    <row r="81" spans="1:35" ht="30">
      <c r="A81" s="1"/>
      <c r="B81" s="107" t="s">
        <v>96</v>
      </c>
      <c r="C81" s="1" t="s">
        <v>97</v>
      </c>
      <c r="D81" s="286" t="s">
        <v>506</v>
      </c>
      <c r="E81" s="12"/>
      <c r="F81" s="1" t="s">
        <v>12</v>
      </c>
      <c r="G81" s="55" t="s">
        <v>458</v>
      </c>
      <c r="H81" s="55"/>
      <c r="I81" s="12"/>
      <c r="J81" s="12"/>
      <c r="K81" s="12" t="s">
        <v>507</v>
      </c>
      <c r="L81" s="1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61"/>
    </row>
    <row r="82" spans="1:35" s="228" customFormat="1" ht="30">
      <c r="A82" s="1"/>
      <c r="B82" s="107" t="s">
        <v>96</v>
      </c>
      <c r="C82" s="1" t="s">
        <v>97</v>
      </c>
      <c r="D82" s="286" t="s">
        <v>508</v>
      </c>
      <c r="E82" s="12"/>
      <c r="F82" s="1" t="s">
        <v>12</v>
      </c>
      <c r="G82" s="55" t="s">
        <v>458</v>
      </c>
      <c r="H82" s="55"/>
      <c r="I82" s="12"/>
      <c r="J82" s="12"/>
      <c r="K82" s="12" t="s">
        <v>509</v>
      </c>
      <c r="L82" s="1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61"/>
    </row>
    <row r="83" spans="1:35" ht="30">
      <c r="A83" s="1"/>
      <c r="B83" s="107" t="s">
        <v>307</v>
      </c>
      <c r="C83" s="1" t="s">
        <v>307</v>
      </c>
      <c r="D83" s="293" t="s">
        <v>510</v>
      </c>
      <c r="E83" s="12" t="s">
        <v>309</v>
      </c>
      <c r="F83" s="1" t="s">
        <v>310</v>
      </c>
      <c r="G83" s="55" t="s">
        <v>311</v>
      </c>
      <c r="H83" s="55" t="s">
        <v>312</v>
      </c>
      <c r="I83" s="12" t="s">
        <v>313</v>
      </c>
      <c r="J83" s="12" t="s">
        <v>314</v>
      </c>
      <c r="K83" s="12" t="s">
        <v>315</v>
      </c>
      <c r="L83" s="1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61"/>
    </row>
    <row r="84" spans="1:35" ht="30">
      <c r="A84" s="1"/>
      <c r="B84" s="107" t="s">
        <v>307</v>
      </c>
      <c r="C84" s="1" t="s">
        <v>307</v>
      </c>
      <c r="D84" s="293" t="s">
        <v>511</v>
      </c>
      <c r="E84" s="12" t="s">
        <v>309</v>
      </c>
      <c r="F84" s="1" t="s">
        <v>310</v>
      </c>
      <c r="G84" s="55" t="s">
        <v>311</v>
      </c>
      <c r="H84" s="55" t="s">
        <v>312</v>
      </c>
      <c r="I84" s="12" t="s">
        <v>313</v>
      </c>
      <c r="J84" s="12" t="s">
        <v>314</v>
      </c>
      <c r="K84" s="12" t="s">
        <v>315</v>
      </c>
      <c r="L84" s="1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61"/>
    </row>
    <row r="85" spans="1:35" ht="30">
      <c r="A85" s="1"/>
      <c r="B85" s="107" t="s">
        <v>307</v>
      </c>
      <c r="C85" s="1" t="s">
        <v>307</v>
      </c>
      <c r="D85" s="293" t="s">
        <v>512</v>
      </c>
      <c r="E85" s="12" t="s">
        <v>309</v>
      </c>
      <c r="F85" s="1" t="s">
        <v>310</v>
      </c>
      <c r="G85" s="55" t="s">
        <v>311</v>
      </c>
      <c r="H85" s="55" t="s">
        <v>312</v>
      </c>
      <c r="I85" s="12" t="s">
        <v>313</v>
      </c>
      <c r="J85" s="12" t="s">
        <v>314</v>
      </c>
      <c r="K85" s="12" t="s">
        <v>315</v>
      </c>
      <c r="L85" s="1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61"/>
    </row>
    <row r="86" spans="1:35" ht="30">
      <c r="A86" s="1"/>
      <c r="B86" s="107" t="s">
        <v>307</v>
      </c>
      <c r="C86" s="1" t="s">
        <v>307</v>
      </c>
      <c r="D86" s="293" t="s">
        <v>513</v>
      </c>
      <c r="E86" s="12" t="s">
        <v>309</v>
      </c>
      <c r="F86" s="1" t="s">
        <v>310</v>
      </c>
      <c r="G86" s="55" t="s">
        <v>311</v>
      </c>
      <c r="H86" s="55" t="s">
        <v>312</v>
      </c>
      <c r="I86" s="12" t="s">
        <v>313</v>
      </c>
      <c r="J86" s="12" t="s">
        <v>314</v>
      </c>
      <c r="K86" s="12" t="s">
        <v>315</v>
      </c>
      <c r="L86" s="1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61"/>
    </row>
    <row r="87" spans="1:35" ht="30">
      <c r="A87" s="1"/>
      <c r="B87" s="107" t="s">
        <v>96</v>
      </c>
      <c r="C87" s="1" t="s">
        <v>97</v>
      </c>
      <c r="D87" s="286" t="s">
        <v>514</v>
      </c>
      <c r="E87" s="12"/>
      <c r="F87" s="1" t="s">
        <v>12</v>
      </c>
      <c r="G87" s="55" t="s">
        <v>458</v>
      </c>
      <c r="H87" s="55"/>
      <c r="I87" s="12"/>
      <c r="J87" s="12"/>
      <c r="K87" s="12" t="s">
        <v>515</v>
      </c>
      <c r="L87" s="1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61"/>
    </row>
    <row r="88" spans="1:35" ht="30">
      <c r="A88" s="1"/>
      <c r="B88" s="107" t="s">
        <v>307</v>
      </c>
      <c r="C88" s="1" t="s">
        <v>307</v>
      </c>
      <c r="D88" s="293" t="s">
        <v>516</v>
      </c>
      <c r="E88" s="12" t="s">
        <v>309</v>
      </c>
      <c r="F88" s="1" t="s">
        <v>310</v>
      </c>
      <c r="G88" s="55" t="s">
        <v>311</v>
      </c>
      <c r="H88" s="55" t="s">
        <v>312</v>
      </c>
      <c r="I88" s="12" t="s">
        <v>313</v>
      </c>
      <c r="J88" s="12" t="s">
        <v>314</v>
      </c>
      <c r="K88" s="12" t="s">
        <v>315</v>
      </c>
      <c r="L88" s="1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61"/>
    </row>
    <row r="89" spans="1:35" ht="30">
      <c r="A89" s="1"/>
      <c r="B89" s="107" t="s">
        <v>97</v>
      </c>
      <c r="C89" s="1" t="s">
        <v>97</v>
      </c>
      <c r="D89" s="12" t="s">
        <v>517</v>
      </c>
      <c r="E89" s="12" t="s">
        <v>422</v>
      </c>
      <c r="F89" s="1" t="s">
        <v>12</v>
      </c>
      <c r="G89" s="55" t="s">
        <v>11</v>
      </c>
      <c r="H89" s="55" t="s">
        <v>236</v>
      </c>
      <c r="I89" s="12" t="s">
        <v>112</v>
      </c>
      <c r="J89" s="12" t="s">
        <v>194</v>
      </c>
      <c r="K89" s="12"/>
      <c r="L89" s="11" t="s">
        <v>518</v>
      </c>
      <c r="M89" s="1" t="s">
        <v>105</v>
      </c>
      <c r="N89" s="1"/>
      <c r="O89" s="1"/>
      <c r="P89" s="1"/>
      <c r="Q89" s="1"/>
      <c r="R89" s="1"/>
      <c r="S89" s="1" t="s">
        <v>105</v>
      </c>
      <c r="T89" s="1" t="s">
        <v>105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61"/>
    </row>
    <row r="90" spans="1:35" ht="30">
      <c r="A90" s="1"/>
      <c r="B90" s="107" t="s">
        <v>97</v>
      </c>
      <c r="C90" s="1" t="s">
        <v>97</v>
      </c>
      <c r="D90" s="290" t="s">
        <v>519</v>
      </c>
      <c r="E90" s="12" t="s">
        <v>520</v>
      </c>
      <c r="F90" s="1" t="s">
        <v>12</v>
      </c>
      <c r="G90" s="55" t="s">
        <v>11</v>
      </c>
      <c r="H90" s="55" t="s">
        <v>101</v>
      </c>
      <c r="I90" s="12" t="s">
        <v>112</v>
      </c>
      <c r="J90" s="12" t="s">
        <v>107</v>
      </c>
      <c r="K90" s="12"/>
      <c r="L90" s="11" t="s">
        <v>104</v>
      </c>
      <c r="M90" s="1"/>
      <c r="N90" s="1"/>
      <c r="O90" s="1"/>
      <c r="P90" s="1"/>
      <c r="Q90" s="1"/>
      <c r="R90" s="1"/>
      <c r="S90" s="1" t="s">
        <v>105</v>
      </c>
      <c r="T90" s="1" t="s">
        <v>105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61"/>
    </row>
    <row r="91" spans="1:35" ht="30">
      <c r="A91" s="1"/>
      <c r="B91" s="107" t="s">
        <v>97</v>
      </c>
      <c r="C91" s="1" t="s">
        <v>97</v>
      </c>
      <c r="D91" s="290" t="s">
        <v>521</v>
      </c>
      <c r="E91" s="12" t="s">
        <v>520</v>
      </c>
      <c r="F91" s="1" t="s">
        <v>12</v>
      </c>
      <c r="G91" s="55" t="s">
        <v>11</v>
      </c>
      <c r="H91" s="55" t="s">
        <v>101</v>
      </c>
      <c r="I91" s="12" t="s">
        <v>112</v>
      </c>
      <c r="J91" s="12" t="s">
        <v>107</v>
      </c>
      <c r="K91" s="12"/>
      <c r="L91" s="11" t="s">
        <v>104</v>
      </c>
      <c r="M91" s="1"/>
      <c r="N91" s="1"/>
      <c r="O91" s="1"/>
      <c r="P91" s="1"/>
      <c r="Q91" s="1"/>
      <c r="R91" s="1"/>
      <c r="S91" s="1" t="s">
        <v>105</v>
      </c>
      <c r="T91" s="1" t="s">
        <v>105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61"/>
    </row>
    <row r="92" spans="1:35" ht="30">
      <c r="A92" s="1"/>
      <c r="B92" s="107" t="s">
        <v>97</v>
      </c>
      <c r="C92" s="1" t="s">
        <v>97</v>
      </c>
      <c r="D92" s="290" t="s">
        <v>522</v>
      </c>
      <c r="E92" s="12" t="s">
        <v>520</v>
      </c>
      <c r="F92" s="1" t="s">
        <v>12</v>
      </c>
      <c r="G92" s="55" t="s">
        <v>11</v>
      </c>
      <c r="H92" s="55" t="s">
        <v>101</v>
      </c>
      <c r="I92" s="12" t="s">
        <v>112</v>
      </c>
      <c r="J92" s="12" t="s">
        <v>107</v>
      </c>
      <c r="K92" s="12"/>
      <c r="L92" s="11" t="s">
        <v>104</v>
      </c>
      <c r="M92" s="1"/>
      <c r="N92" s="1"/>
      <c r="O92" s="1"/>
      <c r="P92" s="1"/>
      <c r="Q92" s="1"/>
      <c r="R92" s="1"/>
      <c r="S92" s="1" t="s">
        <v>105</v>
      </c>
      <c r="T92" s="1" t="s">
        <v>105</v>
      </c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61"/>
    </row>
    <row r="93" spans="1:35" ht="30">
      <c r="A93" s="1"/>
      <c r="B93" s="107" t="s">
        <v>97</v>
      </c>
      <c r="C93" s="1" t="s">
        <v>97</v>
      </c>
      <c r="D93" s="290" t="s">
        <v>523</v>
      </c>
      <c r="E93" s="12" t="s">
        <v>524</v>
      </c>
      <c r="F93" s="1" t="s">
        <v>12</v>
      </c>
      <c r="G93" s="55" t="s">
        <v>11</v>
      </c>
      <c r="H93" s="12" t="s">
        <v>101</v>
      </c>
      <c r="I93" s="12" t="s">
        <v>112</v>
      </c>
      <c r="J93" s="12" t="s">
        <v>107</v>
      </c>
      <c r="K93" s="12"/>
      <c r="L93" s="11" t="s">
        <v>104</v>
      </c>
      <c r="M93" s="1"/>
      <c r="N93" s="1"/>
      <c r="O93" s="1"/>
      <c r="P93" s="1"/>
      <c r="Q93" s="1"/>
      <c r="R93" s="1"/>
      <c r="S93" s="1" t="s">
        <v>105</v>
      </c>
      <c r="T93" s="1" t="s">
        <v>105</v>
      </c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61"/>
    </row>
    <row r="94" spans="1:35" ht="30">
      <c r="A94" s="1"/>
      <c r="B94" s="107" t="s">
        <v>96</v>
      </c>
      <c r="C94" s="1" t="s">
        <v>97</v>
      </c>
      <c r="D94" s="11" t="s">
        <v>525</v>
      </c>
      <c r="E94" s="12" t="s">
        <v>405</v>
      </c>
      <c r="F94" s="1" t="s">
        <v>12</v>
      </c>
      <c r="G94" s="55" t="s">
        <v>11</v>
      </c>
      <c r="H94" s="55" t="s">
        <v>101</v>
      </c>
      <c r="I94" s="12" t="s">
        <v>112</v>
      </c>
      <c r="J94" s="12" t="s">
        <v>107</v>
      </c>
      <c r="K94" s="12"/>
      <c r="L94" s="11" t="s">
        <v>526</v>
      </c>
      <c r="M94" s="1" t="s">
        <v>105</v>
      </c>
      <c r="N94" s="1"/>
      <c r="O94" s="1"/>
      <c r="P94" s="1"/>
      <c r="Q94" s="1"/>
      <c r="R94" s="1"/>
      <c r="S94" s="1" t="s">
        <v>105</v>
      </c>
      <c r="T94" s="1" t="s">
        <v>105</v>
      </c>
      <c r="U94" s="1"/>
      <c r="V94" s="1" t="s">
        <v>105</v>
      </c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61"/>
    </row>
    <row r="95" spans="1:35" ht="30">
      <c r="A95" s="1"/>
      <c r="B95" s="107" t="s">
        <v>97</v>
      </c>
      <c r="C95" s="1" t="s">
        <v>97</v>
      </c>
      <c r="D95" s="12" t="s">
        <v>527</v>
      </c>
      <c r="E95" s="12" t="s">
        <v>422</v>
      </c>
      <c r="F95" s="1" t="s">
        <v>12</v>
      </c>
      <c r="G95" s="55" t="s">
        <v>11</v>
      </c>
      <c r="H95" s="55" t="s">
        <v>101</v>
      </c>
      <c r="I95" s="12" t="s">
        <v>112</v>
      </c>
      <c r="J95" s="12" t="s">
        <v>114</v>
      </c>
      <c r="K95" s="12"/>
      <c r="L95" s="11" t="s">
        <v>104</v>
      </c>
      <c r="M95" s="1"/>
      <c r="N95" s="1"/>
      <c r="O95" s="1"/>
      <c r="P95" s="1"/>
      <c r="Q95" s="1"/>
      <c r="R95" s="1"/>
      <c r="S95" s="1" t="s">
        <v>105</v>
      </c>
      <c r="T95" s="1" t="s">
        <v>105</v>
      </c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61"/>
    </row>
    <row r="96" spans="1:35" ht="30">
      <c r="A96" s="1"/>
      <c r="B96" s="107" t="s">
        <v>97</v>
      </c>
      <c r="C96" s="1" t="s">
        <v>97</v>
      </c>
      <c r="D96" s="291" t="s">
        <v>528</v>
      </c>
      <c r="E96" s="12" t="s">
        <v>403</v>
      </c>
      <c r="F96" s="1" t="s">
        <v>12</v>
      </c>
      <c r="G96" s="55" t="s">
        <v>11</v>
      </c>
      <c r="H96" s="55" t="s">
        <v>101</v>
      </c>
      <c r="I96" s="12" t="s">
        <v>112</v>
      </c>
      <c r="J96" s="12" t="s">
        <v>383</v>
      </c>
      <c r="K96" s="12"/>
      <c r="L96" s="55" t="s">
        <v>529</v>
      </c>
      <c r="M96" s="14"/>
      <c r="N96" s="14"/>
      <c r="O96" s="14"/>
      <c r="P96" s="14" t="s">
        <v>105</v>
      </c>
      <c r="Q96" s="14"/>
      <c r="R96" s="14"/>
      <c r="S96" s="14" t="s">
        <v>105</v>
      </c>
      <c r="T96" s="14" t="s">
        <v>105</v>
      </c>
      <c r="U96" s="14"/>
      <c r="V96" s="14"/>
      <c r="W96" s="14"/>
      <c r="X96" s="14"/>
      <c r="Y96" s="14"/>
      <c r="Z96" s="14" t="s">
        <v>105</v>
      </c>
      <c r="AA96" s="14"/>
      <c r="AB96" s="14"/>
      <c r="AC96" s="1"/>
      <c r="AD96" s="1"/>
      <c r="AE96" s="1"/>
      <c r="AF96" s="1"/>
      <c r="AG96" s="1"/>
      <c r="AH96" s="1"/>
      <c r="AI96" s="61"/>
    </row>
    <row r="97" spans="1:35" ht="30">
      <c r="A97" s="1"/>
      <c r="B97" s="107" t="s">
        <v>97</v>
      </c>
      <c r="C97" s="1" t="s">
        <v>97</v>
      </c>
      <c r="D97" s="290" t="s">
        <v>530</v>
      </c>
      <c r="E97" s="12" t="s">
        <v>403</v>
      </c>
      <c r="F97" s="1" t="s">
        <v>12</v>
      </c>
      <c r="G97" s="55" t="s">
        <v>11</v>
      </c>
      <c r="H97" s="55" t="s">
        <v>101</v>
      </c>
      <c r="I97" s="12" t="s">
        <v>112</v>
      </c>
      <c r="J97" s="12" t="s">
        <v>107</v>
      </c>
      <c r="K97" s="12"/>
      <c r="L97" s="11" t="s">
        <v>362</v>
      </c>
      <c r="M97" s="1"/>
      <c r="N97" s="1"/>
      <c r="O97" s="1"/>
      <c r="P97" s="1"/>
      <c r="Q97" s="1"/>
      <c r="R97" s="1"/>
      <c r="S97" s="1" t="s">
        <v>105</v>
      </c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61"/>
    </row>
    <row r="98" spans="1:35" ht="30">
      <c r="A98" s="1"/>
      <c r="B98" s="107" t="s">
        <v>97</v>
      </c>
      <c r="C98" s="1" t="s">
        <v>96</v>
      </c>
      <c r="D98" s="290" t="s">
        <v>531</v>
      </c>
      <c r="E98" s="12" t="s">
        <v>403</v>
      </c>
      <c r="F98" s="1" t="s">
        <v>12</v>
      </c>
      <c r="G98" s="55" t="s">
        <v>11</v>
      </c>
      <c r="H98" s="55" t="s">
        <v>101</v>
      </c>
      <c r="I98" s="12" t="s">
        <v>112</v>
      </c>
      <c r="J98" s="12" t="s">
        <v>114</v>
      </c>
      <c r="K98" s="12"/>
      <c r="L98" s="11" t="s">
        <v>362</v>
      </c>
      <c r="M98" s="1"/>
      <c r="N98" s="1"/>
      <c r="O98" s="1"/>
      <c r="P98" s="1"/>
      <c r="Q98" s="1"/>
      <c r="R98" s="1"/>
      <c r="S98" s="1" t="s">
        <v>105</v>
      </c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61"/>
    </row>
    <row r="99" spans="1:35" ht="30">
      <c r="A99" s="1"/>
      <c r="B99" s="107" t="s">
        <v>97</v>
      </c>
      <c r="C99" s="1" t="s">
        <v>97</v>
      </c>
      <c r="D99" s="290" t="s">
        <v>532</v>
      </c>
      <c r="E99" s="12" t="s">
        <v>403</v>
      </c>
      <c r="F99" s="1" t="s">
        <v>12</v>
      </c>
      <c r="G99" s="55" t="s">
        <v>11</v>
      </c>
      <c r="H99" s="55" t="s">
        <v>101</v>
      </c>
      <c r="I99" s="12" t="s">
        <v>112</v>
      </c>
      <c r="J99" s="12" t="s">
        <v>107</v>
      </c>
      <c r="K99" s="12"/>
      <c r="L99" s="11" t="s">
        <v>362</v>
      </c>
      <c r="M99" s="1"/>
      <c r="N99" s="1"/>
      <c r="O99" s="1"/>
      <c r="P99" s="1"/>
      <c r="Q99" s="1"/>
      <c r="R99" s="1"/>
      <c r="S99" s="1" t="s">
        <v>105</v>
      </c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61"/>
    </row>
    <row r="100" spans="1:35" ht="30">
      <c r="A100" s="1"/>
      <c r="B100" s="107" t="s">
        <v>96</v>
      </c>
      <c r="C100" s="1" t="s">
        <v>96</v>
      </c>
      <c r="D100" s="291" t="s">
        <v>533</v>
      </c>
      <c r="E100" s="12" t="s">
        <v>422</v>
      </c>
      <c r="F100" s="1" t="s">
        <v>12</v>
      </c>
      <c r="G100" s="55" t="s">
        <v>11</v>
      </c>
      <c r="H100" s="55" t="s">
        <v>101</v>
      </c>
      <c r="I100" s="12" t="s">
        <v>112</v>
      </c>
      <c r="J100" s="12" t="s">
        <v>114</v>
      </c>
      <c r="K100" s="12"/>
      <c r="L100" s="55" t="s">
        <v>534</v>
      </c>
      <c r="M100" s="14"/>
      <c r="N100" s="14"/>
      <c r="O100" s="14" t="s">
        <v>105</v>
      </c>
      <c r="P100" s="14" t="s">
        <v>105</v>
      </c>
      <c r="Q100" s="14"/>
      <c r="R100" s="14"/>
      <c r="S100" s="14" t="s">
        <v>105</v>
      </c>
      <c r="T100" s="14" t="s">
        <v>105</v>
      </c>
      <c r="U100" s="14"/>
      <c r="V100" s="14" t="s">
        <v>105</v>
      </c>
      <c r="W100" s="14"/>
      <c r="X100" s="14"/>
      <c r="Y100" s="14"/>
      <c r="Z100" s="14"/>
      <c r="AA100" s="14"/>
      <c r="AB100" s="14"/>
      <c r="AC100" s="1"/>
      <c r="AD100" s="1"/>
      <c r="AE100" s="1"/>
      <c r="AF100" s="1"/>
      <c r="AG100" s="1"/>
      <c r="AH100" s="1"/>
      <c r="AI100" s="61"/>
    </row>
    <row r="101" spans="1:35" ht="30">
      <c r="A101" s="1"/>
      <c r="B101" s="107" t="s">
        <v>96</v>
      </c>
      <c r="C101" s="1" t="s">
        <v>96</v>
      </c>
      <c r="D101" s="55" t="s">
        <v>535</v>
      </c>
      <c r="E101" s="12" t="s">
        <v>422</v>
      </c>
      <c r="F101" s="1" t="s">
        <v>12</v>
      </c>
      <c r="G101" s="55" t="s">
        <v>11</v>
      </c>
      <c r="H101" s="55" t="s">
        <v>101</v>
      </c>
      <c r="I101" s="12" t="s">
        <v>112</v>
      </c>
      <c r="J101" s="12"/>
      <c r="K101" s="12"/>
      <c r="L101" s="55" t="s">
        <v>536</v>
      </c>
      <c r="M101" s="14"/>
      <c r="N101" s="14"/>
      <c r="O101" s="14" t="s">
        <v>105</v>
      </c>
      <c r="P101" s="14" t="s">
        <v>105</v>
      </c>
      <c r="Q101" s="14"/>
      <c r="R101" s="14"/>
      <c r="S101" s="14" t="s">
        <v>105</v>
      </c>
      <c r="T101" s="14" t="s">
        <v>105</v>
      </c>
      <c r="U101" s="14"/>
      <c r="V101" s="14" t="s">
        <v>105</v>
      </c>
      <c r="W101" s="14"/>
      <c r="X101" s="14"/>
      <c r="Y101" s="14"/>
      <c r="Z101" s="14"/>
      <c r="AA101" s="14"/>
      <c r="AB101" s="14"/>
      <c r="AC101" s="1"/>
      <c r="AD101" s="1"/>
      <c r="AE101" s="1"/>
      <c r="AF101" s="1"/>
      <c r="AG101" s="1"/>
      <c r="AH101" s="1"/>
      <c r="AI101" s="61"/>
    </row>
    <row r="102" spans="1:35" ht="30">
      <c r="A102" s="1"/>
      <c r="B102" s="107" t="s">
        <v>96</v>
      </c>
      <c r="C102" s="1" t="s">
        <v>96</v>
      </c>
      <c r="D102" s="12" t="s">
        <v>537</v>
      </c>
      <c r="E102" s="12" t="s">
        <v>422</v>
      </c>
      <c r="F102" s="1" t="s">
        <v>12</v>
      </c>
      <c r="G102" s="55" t="s">
        <v>11</v>
      </c>
      <c r="H102" s="55" t="s">
        <v>101</v>
      </c>
      <c r="I102" s="12" t="s">
        <v>112</v>
      </c>
      <c r="J102" s="12" t="s">
        <v>114</v>
      </c>
      <c r="K102" s="12"/>
      <c r="L102" s="11" t="s">
        <v>104</v>
      </c>
      <c r="M102" s="1"/>
      <c r="N102" s="1"/>
      <c r="O102" s="1"/>
      <c r="P102" s="1"/>
      <c r="Q102" s="1"/>
      <c r="R102" s="1"/>
      <c r="S102" s="1" t="s">
        <v>105</v>
      </c>
      <c r="T102" s="1" t="s">
        <v>105</v>
      </c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61"/>
    </row>
    <row r="103" spans="1:35" ht="30">
      <c r="A103" s="1"/>
      <c r="B103" s="107" t="s">
        <v>96</v>
      </c>
      <c r="C103" s="1" t="s">
        <v>97</v>
      </c>
      <c r="D103" s="291" t="s">
        <v>538</v>
      </c>
      <c r="E103" s="12" t="s">
        <v>422</v>
      </c>
      <c r="F103" s="1" t="s">
        <v>12</v>
      </c>
      <c r="G103" s="55" t="s">
        <v>11</v>
      </c>
      <c r="H103" s="55" t="s">
        <v>101</v>
      </c>
      <c r="I103" s="12" t="s">
        <v>112</v>
      </c>
      <c r="J103" s="12" t="s">
        <v>114</v>
      </c>
      <c r="K103" s="12"/>
      <c r="L103" s="55" t="s">
        <v>539</v>
      </c>
      <c r="M103" s="14"/>
      <c r="N103" s="14"/>
      <c r="O103" s="14"/>
      <c r="P103" s="14"/>
      <c r="Q103" s="14"/>
      <c r="R103" s="14"/>
      <c r="S103" s="14" t="s">
        <v>105</v>
      </c>
      <c r="T103" s="14" t="s">
        <v>105</v>
      </c>
      <c r="U103" s="14"/>
      <c r="V103" s="14"/>
      <c r="W103" s="14"/>
      <c r="X103" s="14"/>
      <c r="Y103" s="14"/>
      <c r="Z103" s="14" t="s">
        <v>105</v>
      </c>
      <c r="AA103" s="14"/>
      <c r="AB103" s="14"/>
      <c r="AC103" s="1"/>
      <c r="AD103" s="1"/>
      <c r="AE103" s="1"/>
      <c r="AF103" s="1"/>
      <c r="AG103" s="1"/>
      <c r="AH103" s="1"/>
      <c r="AI103" s="61"/>
    </row>
    <row r="104" spans="1:35" ht="30">
      <c r="A104" s="1"/>
      <c r="B104" s="107" t="s">
        <v>96</v>
      </c>
      <c r="C104" s="1" t="s">
        <v>96</v>
      </c>
      <c r="D104" s="12" t="s">
        <v>540</v>
      </c>
      <c r="E104" s="12" t="s">
        <v>422</v>
      </c>
      <c r="F104" s="1" t="s">
        <v>12</v>
      </c>
      <c r="G104" s="55" t="s">
        <v>11</v>
      </c>
      <c r="H104" s="55" t="s">
        <v>101</v>
      </c>
      <c r="I104" s="12" t="s">
        <v>112</v>
      </c>
      <c r="J104" s="12" t="s">
        <v>114</v>
      </c>
      <c r="K104" s="12"/>
      <c r="L104" s="11" t="s">
        <v>104</v>
      </c>
      <c r="M104" s="1"/>
      <c r="N104" s="1"/>
      <c r="O104" s="1"/>
      <c r="P104" s="1"/>
      <c r="Q104" s="1"/>
      <c r="R104" s="1"/>
      <c r="S104" s="1" t="s">
        <v>105</v>
      </c>
      <c r="T104" s="1" t="s">
        <v>105</v>
      </c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61"/>
    </row>
    <row r="105" spans="1:35" ht="30">
      <c r="A105" s="1"/>
      <c r="B105" s="107" t="s">
        <v>96</v>
      </c>
      <c r="C105" s="1" t="s">
        <v>97</v>
      </c>
      <c r="D105" s="12" t="s">
        <v>541</v>
      </c>
      <c r="E105" s="12" t="s">
        <v>422</v>
      </c>
      <c r="F105" s="1" t="s">
        <v>12</v>
      </c>
      <c r="G105" s="55" t="s">
        <v>11</v>
      </c>
      <c r="H105" s="55" t="s">
        <v>101</v>
      </c>
      <c r="I105" s="12" t="s">
        <v>112</v>
      </c>
      <c r="J105" s="12" t="s">
        <v>107</v>
      </c>
      <c r="K105" s="12"/>
      <c r="L105" s="11" t="s">
        <v>362</v>
      </c>
      <c r="M105" s="1"/>
      <c r="N105" s="1"/>
      <c r="O105" s="1"/>
      <c r="P105" s="1"/>
      <c r="Q105" s="1"/>
      <c r="R105" s="1"/>
      <c r="S105" s="1" t="s">
        <v>105</v>
      </c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61"/>
    </row>
    <row r="106" spans="1:35" ht="30">
      <c r="A106" s="1"/>
      <c r="B106" s="107" t="s">
        <v>96</v>
      </c>
      <c r="C106" s="1" t="s">
        <v>97</v>
      </c>
      <c r="D106" s="289" t="s">
        <v>542</v>
      </c>
      <c r="E106" s="12" t="s">
        <v>405</v>
      </c>
      <c r="F106" s="1" t="s">
        <v>12</v>
      </c>
      <c r="G106" s="55" t="s">
        <v>11</v>
      </c>
      <c r="H106" s="55" t="s">
        <v>101</v>
      </c>
      <c r="I106" s="12" t="s">
        <v>112</v>
      </c>
      <c r="J106" s="12" t="s">
        <v>107</v>
      </c>
      <c r="K106" s="12"/>
      <c r="L106" s="55" t="s">
        <v>518</v>
      </c>
      <c r="M106" s="14" t="s">
        <v>105</v>
      </c>
      <c r="N106" s="14"/>
      <c r="O106" s="1"/>
      <c r="P106" s="14"/>
      <c r="Q106" s="14"/>
      <c r="R106" s="1"/>
      <c r="S106" s="1" t="s">
        <v>105</v>
      </c>
      <c r="T106" s="1" t="s">
        <v>105</v>
      </c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61"/>
    </row>
    <row r="107" spans="1:35" ht="30">
      <c r="A107" s="1"/>
      <c r="B107" s="107" t="s">
        <v>97</v>
      </c>
      <c r="C107" s="1" t="s">
        <v>97</v>
      </c>
      <c r="D107" s="290" t="s">
        <v>543</v>
      </c>
      <c r="E107" s="12" t="s">
        <v>405</v>
      </c>
      <c r="F107" s="1" t="s">
        <v>12</v>
      </c>
      <c r="G107" s="55" t="s">
        <v>11</v>
      </c>
      <c r="H107" s="55" t="s">
        <v>101</v>
      </c>
      <c r="I107" s="12" t="s">
        <v>112</v>
      </c>
      <c r="J107" s="12" t="s">
        <v>107</v>
      </c>
      <c r="K107" s="12"/>
      <c r="L107" s="11" t="s">
        <v>544</v>
      </c>
      <c r="M107" s="1" t="s">
        <v>105</v>
      </c>
      <c r="N107" s="1"/>
      <c r="O107" s="1" t="s">
        <v>105</v>
      </c>
      <c r="P107" s="1" t="s">
        <v>105</v>
      </c>
      <c r="Q107" s="1"/>
      <c r="R107" s="1"/>
      <c r="S107" s="1" t="s">
        <v>105</v>
      </c>
      <c r="T107" s="1" t="s">
        <v>105</v>
      </c>
      <c r="U107" s="1" t="s">
        <v>105</v>
      </c>
      <c r="V107" s="1"/>
      <c r="W107" s="1"/>
      <c r="X107" s="1"/>
      <c r="Y107" s="1"/>
      <c r="Z107" s="1"/>
      <c r="AA107" s="1"/>
      <c r="AB107" s="1"/>
      <c r="AC107" s="1"/>
      <c r="AD107" s="1" t="s">
        <v>401</v>
      </c>
      <c r="AE107" s="1"/>
      <c r="AF107" s="1"/>
      <c r="AG107" s="1"/>
      <c r="AH107" s="1"/>
      <c r="AI107" s="61"/>
    </row>
    <row r="108" spans="1:35" ht="30">
      <c r="A108" s="1"/>
      <c r="B108" s="107" t="s">
        <v>97</v>
      </c>
      <c r="C108" s="1" t="s">
        <v>97</v>
      </c>
      <c r="D108" s="289" t="s">
        <v>545</v>
      </c>
      <c r="E108" s="12" t="s">
        <v>405</v>
      </c>
      <c r="F108" s="1" t="s">
        <v>12</v>
      </c>
      <c r="G108" s="55" t="s">
        <v>11</v>
      </c>
      <c r="H108" s="55" t="s">
        <v>101</v>
      </c>
      <c r="I108" s="12" t="s">
        <v>112</v>
      </c>
      <c r="J108" s="12" t="s">
        <v>107</v>
      </c>
      <c r="K108" s="12"/>
      <c r="L108" s="55" t="s">
        <v>546</v>
      </c>
      <c r="M108" s="14" t="s">
        <v>105</v>
      </c>
      <c r="N108" s="14"/>
      <c r="O108" s="1"/>
      <c r="P108" s="14"/>
      <c r="Q108" s="1"/>
      <c r="R108" s="1"/>
      <c r="S108" s="1" t="s">
        <v>105</v>
      </c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61"/>
    </row>
    <row r="109" spans="1:35" ht="30">
      <c r="A109" s="1"/>
      <c r="B109" s="107" t="s">
        <v>97</v>
      </c>
      <c r="C109" s="1" t="s">
        <v>97</v>
      </c>
      <c r="D109" s="290" t="s">
        <v>547</v>
      </c>
      <c r="E109" s="12" t="s">
        <v>403</v>
      </c>
      <c r="F109" s="1" t="s">
        <v>12</v>
      </c>
      <c r="G109" s="55" t="s">
        <v>11</v>
      </c>
      <c r="H109" s="12" t="s">
        <v>101</v>
      </c>
      <c r="I109" s="12" t="s">
        <v>112</v>
      </c>
      <c r="J109" s="12" t="s">
        <v>342</v>
      </c>
      <c r="K109" s="12"/>
      <c r="L109" s="11" t="s">
        <v>362</v>
      </c>
      <c r="M109" s="1"/>
      <c r="N109" s="1"/>
      <c r="O109" s="1"/>
      <c r="P109" s="1"/>
      <c r="Q109" s="1"/>
      <c r="R109" s="1"/>
      <c r="S109" s="1" t="s">
        <v>105</v>
      </c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 t="s">
        <v>105</v>
      </c>
      <c r="AH109" s="1"/>
      <c r="AI109" s="61"/>
    </row>
    <row r="110" spans="1:35" ht="30">
      <c r="A110" s="1"/>
      <c r="B110" s="107" t="s">
        <v>97</v>
      </c>
      <c r="C110" s="1" t="s">
        <v>97</v>
      </c>
      <c r="D110" s="290" t="s">
        <v>548</v>
      </c>
      <c r="E110" s="12" t="s">
        <v>405</v>
      </c>
      <c r="F110" s="1" t="s">
        <v>12</v>
      </c>
      <c r="G110" s="55" t="s">
        <v>11</v>
      </c>
      <c r="H110" s="55" t="s">
        <v>101</v>
      </c>
      <c r="I110" s="12" t="s">
        <v>112</v>
      </c>
      <c r="J110" s="12" t="s">
        <v>107</v>
      </c>
      <c r="K110" s="12"/>
      <c r="L110" s="11" t="s">
        <v>549</v>
      </c>
      <c r="M110" s="1" t="s">
        <v>105</v>
      </c>
      <c r="N110" s="1"/>
      <c r="O110" s="1" t="s">
        <v>105</v>
      </c>
      <c r="P110" s="1" t="s">
        <v>105</v>
      </c>
      <c r="Q110" s="1"/>
      <c r="R110" s="1"/>
      <c r="S110" s="1"/>
      <c r="T110" s="1" t="s">
        <v>105</v>
      </c>
      <c r="U110" s="1"/>
      <c r="V110" s="1"/>
      <c r="W110" s="1"/>
      <c r="X110" s="1"/>
      <c r="Y110" s="1"/>
      <c r="Z110" s="1"/>
      <c r="AA110" s="1"/>
      <c r="AB110" s="1"/>
      <c r="AC110" s="1"/>
      <c r="AD110" s="1" t="s">
        <v>401</v>
      </c>
      <c r="AE110" s="1"/>
      <c r="AF110" s="1"/>
      <c r="AG110" s="1"/>
      <c r="AH110" s="1"/>
      <c r="AI110" s="61"/>
    </row>
    <row r="111" spans="1:35" ht="30">
      <c r="A111" s="1"/>
      <c r="B111" s="107" t="s">
        <v>97</v>
      </c>
      <c r="C111" s="1" t="s">
        <v>97</v>
      </c>
      <c r="D111" s="289" t="s">
        <v>550</v>
      </c>
      <c r="E111" s="12" t="s">
        <v>405</v>
      </c>
      <c r="F111" s="1" t="s">
        <v>12</v>
      </c>
      <c r="G111" s="55" t="s">
        <v>11</v>
      </c>
      <c r="H111" s="55" t="s">
        <v>101</v>
      </c>
      <c r="I111" s="12" t="s">
        <v>112</v>
      </c>
      <c r="J111" s="12" t="s">
        <v>107</v>
      </c>
      <c r="K111" s="12"/>
      <c r="L111" s="11" t="s">
        <v>551</v>
      </c>
      <c r="M111" s="1" t="s">
        <v>105</v>
      </c>
      <c r="N111" s="1"/>
      <c r="O111" s="1"/>
      <c r="P111" s="1"/>
      <c r="Q111" s="1"/>
      <c r="R111" s="1"/>
      <c r="S111" s="1" t="s">
        <v>105</v>
      </c>
      <c r="T111" s="1" t="s">
        <v>105</v>
      </c>
      <c r="U111" s="1"/>
      <c r="V111" s="1" t="s">
        <v>105</v>
      </c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61"/>
    </row>
    <row r="112" spans="1:35" ht="30">
      <c r="A112" s="1"/>
      <c r="B112" s="107" t="s">
        <v>96</v>
      </c>
      <c r="C112" s="1" t="s">
        <v>97</v>
      </c>
      <c r="D112" s="65" t="s">
        <v>552</v>
      </c>
      <c r="E112" s="12" t="s">
        <v>422</v>
      </c>
      <c r="F112" s="1" t="s">
        <v>12</v>
      </c>
      <c r="G112" s="55" t="s">
        <v>11</v>
      </c>
      <c r="H112" s="55" t="s">
        <v>101</v>
      </c>
      <c r="I112" s="12" t="s">
        <v>112</v>
      </c>
      <c r="J112" s="12" t="s">
        <v>107</v>
      </c>
      <c r="K112" s="12"/>
      <c r="L112" s="11" t="s">
        <v>362</v>
      </c>
      <c r="M112" s="1"/>
      <c r="N112" s="1"/>
      <c r="O112" s="1"/>
      <c r="P112" s="1"/>
      <c r="Q112" s="1"/>
      <c r="R112" s="1"/>
      <c r="S112" s="1" t="s">
        <v>105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61"/>
    </row>
    <row r="113" spans="1:35" ht="30">
      <c r="A113" s="1"/>
      <c r="B113" s="107" t="s">
        <v>97</v>
      </c>
      <c r="C113" s="1" t="s">
        <v>97</v>
      </c>
      <c r="D113" s="65" t="s">
        <v>553</v>
      </c>
      <c r="E113" s="12" t="s">
        <v>422</v>
      </c>
      <c r="F113" s="1" t="s">
        <v>12</v>
      </c>
      <c r="G113" s="55" t="s">
        <v>11</v>
      </c>
      <c r="H113" s="55" t="s">
        <v>101</v>
      </c>
      <c r="I113" s="12" t="s">
        <v>112</v>
      </c>
      <c r="J113" s="12" t="s">
        <v>114</v>
      </c>
      <c r="K113" s="12"/>
      <c r="L113" s="11" t="s">
        <v>362</v>
      </c>
      <c r="M113" s="1"/>
      <c r="N113" s="1"/>
      <c r="O113" s="1"/>
      <c r="P113" s="1"/>
      <c r="Q113" s="1"/>
      <c r="R113" s="1"/>
      <c r="S113" s="1" t="s">
        <v>105</v>
      </c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61"/>
    </row>
    <row r="114" spans="1:35" ht="30">
      <c r="A114" s="1"/>
      <c r="B114" s="107" t="s">
        <v>97</v>
      </c>
      <c r="C114" s="1" t="s">
        <v>97</v>
      </c>
      <c r="D114" s="55" t="s">
        <v>554</v>
      </c>
      <c r="E114" s="12" t="s">
        <v>405</v>
      </c>
      <c r="F114" s="1" t="s">
        <v>12</v>
      </c>
      <c r="G114" s="55" t="s">
        <v>11</v>
      </c>
      <c r="H114" s="55" t="s">
        <v>101</v>
      </c>
      <c r="I114" s="12" t="s">
        <v>112</v>
      </c>
      <c r="J114" s="12" t="s">
        <v>114</v>
      </c>
      <c r="K114" s="12"/>
      <c r="L114" s="11" t="s">
        <v>362</v>
      </c>
      <c r="M114" s="1"/>
      <c r="N114" s="1"/>
      <c r="O114" s="1"/>
      <c r="P114" s="1"/>
      <c r="Q114" s="1"/>
      <c r="R114" s="1"/>
      <c r="S114" s="1" t="s">
        <v>105</v>
      </c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61"/>
    </row>
    <row r="115" spans="1:35" ht="30">
      <c r="A115" s="1"/>
      <c r="B115" s="107" t="s">
        <v>307</v>
      </c>
      <c r="C115" s="1" t="s">
        <v>307</v>
      </c>
      <c r="D115" s="293" t="s">
        <v>555</v>
      </c>
      <c r="E115" s="12" t="s">
        <v>331</v>
      </c>
      <c r="F115" s="1" t="s">
        <v>310</v>
      </c>
      <c r="G115" s="55" t="s">
        <v>311</v>
      </c>
      <c r="H115" s="55" t="s">
        <v>322</v>
      </c>
      <c r="I115" s="12" t="s">
        <v>323</v>
      </c>
      <c r="J115" s="12" t="s">
        <v>314</v>
      </c>
      <c r="K115" s="12" t="s">
        <v>332</v>
      </c>
      <c r="L115" s="1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61"/>
    </row>
    <row r="116" spans="1:35" ht="30">
      <c r="A116" s="1"/>
      <c r="B116" s="107" t="s">
        <v>97</v>
      </c>
      <c r="C116" s="1" t="s">
        <v>97</v>
      </c>
      <c r="D116" s="12" t="s">
        <v>556</v>
      </c>
      <c r="E116" s="12" t="s">
        <v>344</v>
      </c>
      <c r="F116" s="1" t="s">
        <v>12</v>
      </c>
      <c r="G116" s="55" t="s">
        <v>11</v>
      </c>
      <c r="H116" s="55" t="s">
        <v>101</v>
      </c>
      <c r="I116" s="12" t="s">
        <v>112</v>
      </c>
      <c r="J116" s="12" t="s">
        <v>107</v>
      </c>
      <c r="K116" s="12"/>
      <c r="L116" s="11" t="s">
        <v>362</v>
      </c>
      <c r="M116" s="1"/>
      <c r="N116" s="1"/>
      <c r="O116" s="1"/>
      <c r="P116" s="1"/>
      <c r="Q116" s="1"/>
      <c r="R116" s="1"/>
      <c r="S116" s="1" t="s">
        <v>105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61"/>
    </row>
    <row r="117" spans="1:35" ht="30">
      <c r="A117" s="1"/>
      <c r="B117" s="107" t="s">
        <v>97</v>
      </c>
      <c r="C117" s="1" t="s">
        <v>97</v>
      </c>
      <c r="D117" s="12" t="s">
        <v>557</v>
      </c>
      <c r="E117" s="12" t="s">
        <v>558</v>
      </c>
      <c r="F117" s="1" t="s">
        <v>12</v>
      </c>
      <c r="G117" s="55" t="s">
        <v>11</v>
      </c>
      <c r="H117" s="55" t="s">
        <v>101</v>
      </c>
      <c r="I117" s="12" t="s">
        <v>112</v>
      </c>
      <c r="J117" s="12" t="s">
        <v>107</v>
      </c>
      <c r="K117" s="12"/>
      <c r="L117" s="11" t="s">
        <v>559</v>
      </c>
      <c r="M117" s="1"/>
      <c r="N117" s="1"/>
      <c r="O117" s="1"/>
      <c r="P117" s="1"/>
      <c r="Q117" s="1"/>
      <c r="R117" s="1"/>
      <c r="S117" s="1" t="s">
        <v>105</v>
      </c>
      <c r="T117" s="1" t="s">
        <v>105</v>
      </c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 t="s">
        <v>105</v>
      </c>
      <c r="AG117" s="1"/>
      <c r="AH117" s="1"/>
      <c r="AI117" s="61"/>
    </row>
    <row r="118" spans="1:35" ht="30">
      <c r="A118" s="1"/>
      <c r="B118" s="107" t="s">
        <v>97</v>
      </c>
      <c r="C118" s="1" t="s">
        <v>97</v>
      </c>
      <c r="D118" s="289" t="s">
        <v>560</v>
      </c>
      <c r="E118" s="12" t="s">
        <v>405</v>
      </c>
      <c r="F118" s="1" t="s">
        <v>12</v>
      </c>
      <c r="G118" s="55" t="s">
        <v>11</v>
      </c>
      <c r="H118" s="55" t="s">
        <v>101</v>
      </c>
      <c r="I118" s="12" t="s">
        <v>112</v>
      </c>
      <c r="J118" s="12" t="s">
        <v>107</v>
      </c>
      <c r="K118" s="12"/>
      <c r="L118" s="11" t="s">
        <v>561</v>
      </c>
      <c r="M118" s="1" t="s">
        <v>105</v>
      </c>
      <c r="N118" s="1"/>
      <c r="O118" s="1"/>
      <c r="P118" s="1"/>
      <c r="Q118" s="1"/>
      <c r="R118" s="1"/>
      <c r="S118" s="1" t="s">
        <v>105</v>
      </c>
      <c r="T118" s="1" t="s">
        <v>105</v>
      </c>
      <c r="U118" s="1"/>
      <c r="V118" s="1" t="s">
        <v>105</v>
      </c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61"/>
    </row>
    <row r="119" spans="1:35">
      <c r="A119" s="1"/>
      <c r="B119" s="107" t="s">
        <v>96</v>
      </c>
      <c r="C119" s="1" t="s">
        <v>97</v>
      </c>
      <c r="D119" s="12" t="s">
        <v>562</v>
      </c>
      <c r="E119" s="12" t="s">
        <v>422</v>
      </c>
      <c r="F119" s="1"/>
      <c r="G119" s="55"/>
      <c r="H119" s="55" t="s">
        <v>101</v>
      </c>
      <c r="I119" s="12" t="s">
        <v>112</v>
      </c>
      <c r="J119" s="12" t="s">
        <v>107</v>
      </c>
      <c r="K119" s="12"/>
      <c r="L119" s="11" t="s">
        <v>92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 t="s">
        <v>105</v>
      </c>
      <c r="AH119" s="1"/>
      <c r="AI119" s="61"/>
    </row>
    <row r="120" spans="1:35" ht="30">
      <c r="A120" s="1"/>
      <c r="B120" s="107" t="s">
        <v>97</v>
      </c>
      <c r="C120" s="1" t="s">
        <v>97</v>
      </c>
      <c r="D120" s="12" t="s">
        <v>563</v>
      </c>
      <c r="E120" s="12" t="s">
        <v>403</v>
      </c>
      <c r="F120" s="1" t="s">
        <v>12</v>
      </c>
      <c r="G120" s="55" t="s">
        <v>11</v>
      </c>
      <c r="H120" s="55" t="s">
        <v>101</v>
      </c>
      <c r="I120" s="12" t="s">
        <v>112</v>
      </c>
      <c r="J120" s="12" t="s">
        <v>114</v>
      </c>
      <c r="K120" s="12"/>
      <c r="L120" s="11" t="s">
        <v>362</v>
      </c>
      <c r="M120" s="1"/>
      <c r="N120" s="1"/>
      <c r="O120" s="1"/>
      <c r="P120" s="1"/>
      <c r="Q120" s="1"/>
      <c r="R120" s="1"/>
      <c r="S120" s="1" t="s">
        <v>105</v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61"/>
    </row>
    <row r="121" spans="1:35" ht="30">
      <c r="A121" s="1"/>
      <c r="B121" s="107" t="s">
        <v>97</v>
      </c>
      <c r="C121" s="1" t="s">
        <v>97</v>
      </c>
      <c r="D121" s="65" t="s">
        <v>564</v>
      </c>
      <c r="E121" s="12" t="s">
        <v>403</v>
      </c>
      <c r="F121" s="1" t="s">
        <v>12</v>
      </c>
      <c r="G121" s="55" t="s">
        <v>11</v>
      </c>
      <c r="H121" s="55" t="s">
        <v>101</v>
      </c>
      <c r="I121" s="12" t="s">
        <v>112</v>
      </c>
      <c r="J121" s="12" t="s">
        <v>114</v>
      </c>
      <c r="K121" s="12"/>
      <c r="L121" s="11" t="s">
        <v>565</v>
      </c>
      <c r="M121" s="1"/>
      <c r="N121" s="1"/>
      <c r="O121" s="1"/>
      <c r="P121" s="1" t="s">
        <v>105</v>
      </c>
      <c r="Q121" s="1"/>
      <c r="R121" s="1"/>
      <c r="S121" s="1" t="s">
        <v>105</v>
      </c>
      <c r="T121" s="1" t="s">
        <v>105</v>
      </c>
      <c r="U121" s="1"/>
      <c r="V121" s="1"/>
      <c r="W121" s="1"/>
      <c r="X121" s="1"/>
      <c r="Y121" s="1" t="s">
        <v>105</v>
      </c>
      <c r="Z121" s="1" t="s">
        <v>105</v>
      </c>
      <c r="AA121" s="1"/>
      <c r="AB121" s="1"/>
      <c r="AC121" s="1"/>
      <c r="AD121" s="1"/>
      <c r="AE121" s="1"/>
      <c r="AF121" s="1"/>
      <c r="AG121" s="1"/>
      <c r="AH121" s="1"/>
      <c r="AI121" s="61"/>
    </row>
    <row r="122" spans="1:35" ht="30">
      <c r="A122" s="1"/>
      <c r="B122" s="107" t="s">
        <v>97</v>
      </c>
      <c r="C122" s="1" t="s">
        <v>96</v>
      </c>
      <c r="D122" s="11" t="s">
        <v>566</v>
      </c>
      <c r="E122" s="12" t="s">
        <v>403</v>
      </c>
      <c r="F122" s="1" t="s">
        <v>12</v>
      </c>
      <c r="G122" s="55" t="s">
        <v>11</v>
      </c>
      <c r="H122" s="55" t="s">
        <v>101</v>
      </c>
      <c r="I122" s="12" t="s">
        <v>112</v>
      </c>
      <c r="J122" s="12" t="s">
        <v>107</v>
      </c>
      <c r="K122" s="12"/>
      <c r="L122" s="11" t="s">
        <v>567</v>
      </c>
      <c r="M122" s="1"/>
      <c r="N122" s="1"/>
      <c r="O122" s="1" t="s">
        <v>105</v>
      </c>
      <c r="P122" s="1" t="s">
        <v>105</v>
      </c>
      <c r="Q122" s="1"/>
      <c r="R122" s="1"/>
      <c r="S122" s="1" t="s">
        <v>105</v>
      </c>
      <c r="T122" s="1" t="s">
        <v>105</v>
      </c>
      <c r="U122" s="1" t="s">
        <v>105</v>
      </c>
      <c r="V122" s="1"/>
      <c r="W122" s="1"/>
      <c r="X122" s="1"/>
      <c r="Y122" s="1" t="s">
        <v>105</v>
      </c>
      <c r="Z122" s="1"/>
      <c r="AA122" s="1"/>
      <c r="AB122" s="1"/>
      <c r="AC122" s="1"/>
      <c r="AD122" s="1"/>
      <c r="AE122" s="1"/>
      <c r="AF122" s="1" t="s">
        <v>105</v>
      </c>
      <c r="AG122" s="1"/>
      <c r="AH122" s="1"/>
      <c r="AI122" s="61"/>
    </row>
    <row r="123" spans="1:35" ht="30">
      <c r="A123" s="1"/>
      <c r="B123" s="107" t="s">
        <v>97</v>
      </c>
      <c r="C123" s="1" t="s">
        <v>97</v>
      </c>
      <c r="D123" s="11" t="s">
        <v>568</v>
      </c>
      <c r="E123" s="12" t="s">
        <v>403</v>
      </c>
      <c r="F123" s="1" t="s">
        <v>12</v>
      </c>
      <c r="G123" s="55" t="s">
        <v>11</v>
      </c>
      <c r="H123" s="55" t="s">
        <v>101</v>
      </c>
      <c r="I123" s="12" t="s">
        <v>112</v>
      </c>
      <c r="J123" s="12" t="s">
        <v>114</v>
      </c>
      <c r="K123" s="12"/>
      <c r="L123" s="11" t="s">
        <v>569</v>
      </c>
      <c r="M123" s="1"/>
      <c r="N123" s="1"/>
      <c r="O123" s="1"/>
      <c r="P123" s="1"/>
      <c r="Q123" s="1"/>
      <c r="R123" s="1"/>
      <c r="S123" s="1"/>
      <c r="T123" s="1" t="s">
        <v>105</v>
      </c>
      <c r="U123" s="1"/>
      <c r="V123" s="1"/>
      <c r="W123" s="1"/>
      <c r="X123" s="1" t="s">
        <v>105</v>
      </c>
      <c r="Y123" s="1" t="s">
        <v>105</v>
      </c>
      <c r="Z123" s="1"/>
      <c r="AA123" s="1"/>
      <c r="AB123" s="1"/>
      <c r="AC123" s="1"/>
      <c r="AD123" s="1"/>
      <c r="AE123" s="1"/>
      <c r="AF123" s="1"/>
      <c r="AG123" s="1"/>
      <c r="AH123" s="1"/>
      <c r="AI123" s="61"/>
    </row>
    <row r="124" spans="1:35" ht="30">
      <c r="A124" s="1"/>
      <c r="B124" s="107" t="s">
        <v>97</v>
      </c>
      <c r="C124" s="1" t="s">
        <v>97</v>
      </c>
      <c r="D124" s="288" t="s">
        <v>570</v>
      </c>
      <c r="E124" s="12" t="s">
        <v>403</v>
      </c>
      <c r="F124" s="1" t="s">
        <v>12</v>
      </c>
      <c r="G124" s="55" t="s">
        <v>11</v>
      </c>
      <c r="H124" s="55" t="s">
        <v>101</v>
      </c>
      <c r="I124" s="12" t="s">
        <v>112</v>
      </c>
      <c r="J124" s="12" t="s">
        <v>107</v>
      </c>
      <c r="K124" s="12"/>
      <c r="L124" s="11" t="s">
        <v>571</v>
      </c>
      <c r="M124" s="1"/>
      <c r="N124" s="1"/>
      <c r="O124" s="1"/>
      <c r="P124" s="1"/>
      <c r="Q124" s="1"/>
      <c r="R124" s="1"/>
      <c r="S124" s="1" t="s">
        <v>105</v>
      </c>
      <c r="T124" s="1" t="s">
        <v>105</v>
      </c>
      <c r="U124" s="1"/>
      <c r="V124" s="1"/>
      <c r="W124" s="1"/>
      <c r="X124" s="1"/>
      <c r="Y124" s="1" t="s">
        <v>105</v>
      </c>
      <c r="Z124" s="1" t="s">
        <v>105</v>
      </c>
      <c r="AA124" s="1"/>
      <c r="AB124" s="1"/>
      <c r="AC124" s="1"/>
      <c r="AD124" s="1"/>
      <c r="AE124" s="1"/>
      <c r="AF124" s="1" t="s">
        <v>105</v>
      </c>
      <c r="AG124" s="1"/>
      <c r="AH124" s="1"/>
      <c r="AI124" s="61"/>
    </row>
    <row r="125" spans="1:35" ht="30">
      <c r="A125" s="1"/>
      <c r="B125" s="107" t="s">
        <v>97</v>
      </c>
      <c r="C125" s="1" t="s">
        <v>96</v>
      </c>
      <c r="D125" s="289" t="s">
        <v>572</v>
      </c>
      <c r="E125" s="12" t="s">
        <v>403</v>
      </c>
      <c r="F125" s="1" t="s">
        <v>12</v>
      </c>
      <c r="G125" s="55" t="s">
        <v>11</v>
      </c>
      <c r="H125" s="55" t="s">
        <v>101</v>
      </c>
      <c r="I125" s="12" t="s">
        <v>112</v>
      </c>
      <c r="J125" s="12" t="s">
        <v>107</v>
      </c>
      <c r="K125" s="12"/>
      <c r="L125" s="11" t="s">
        <v>573</v>
      </c>
      <c r="M125" s="1"/>
      <c r="N125" s="1"/>
      <c r="O125" s="1" t="s">
        <v>105</v>
      </c>
      <c r="P125" s="1" t="s">
        <v>105</v>
      </c>
      <c r="Q125" s="1"/>
      <c r="R125" s="1"/>
      <c r="S125" s="1" t="s">
        <v>105</v>
      </c>
      <c r="T125" s="1" t="s">
        <v>105</v>
      </c>
      <c r="U125" s="1"/>
      <c r="V125" s="1"/>
      <c r="W125" s="1"/>
      <c r="X125" s="1" t="s">
        <v>105</v>
      </c>
      <c r="Y125" s="1" t="s">
        <v>105</v>
      </c>
      <c r="Z125" s="1" t="s">
        <v>105</v>
      </c>
      <c r="AA125" s="1"/>
      <c r="AB125" s="1"/>
      <c r="AC125" s="1"/>
      <c r="AD125" s="1"/>
      <c r="AE125" s="1"/>
      <c r="AF125" s="1" t="s">
        <v>105</v>
      </c>
      <c r="AG125" s="1"/>
      <c r="AH125" s="1"/>
      <c r="AI125" s="61"/>
    </row>
    <row r="126" spans="1:35" ht="30">
      <c r="A126" s="1"/>
      <c r="B126" s="107" t="s">
        <v>97</v>
      </c>
      <c r="C126" s="1" t="s">
        <v>97</v>
      </c>
      <c r="D126" s="12" t="s">
        <v>574</v>
      </c>
      <c r="E126" s="12" t="s">
        <v>403</v>
      </c>
      <c r="F126" s="1" t="s">
        <v>12</v>
      </c>
      <c r="G126" s="55" t="s">
        <v>11</v>
      </c>
      <c r="H126" s="55" t="s">
        <v>101</v>
      </c>
      <c r="I126" s="12" t="s">
        <v>375</v>
      </c>
      <c r="J126" s="12" t="s">
        <v>107</v>
      </c>
      <c r="K126" s="12"/>
      <c r="L126" s="11" t="s">
        <v>575</v>
      </c>
      <c r="M126" s="1"/>
      <c r="N126" s="1"/>
      <c r="O126" s="1" t="s">
        <v>105</v>
      </c>
      <c r="P126" s="1" t="s">
        <v>105</v>
      </c>
      <c r="Q126" s="1"/>
      <c r="R126" s="1"/>
      <c r="S126" s="1" t="s">
        <v>105</v>
      </c>
      <c r="T126" s="1" t="s">
        <v>105</v>
      </c>
      <c r="U126" s="1"/>
      <c r="V126" s="1"/>
      <c r="W126" s="1"/>
      <c r="X126" s="1"/>
      <c r="Y126" s="1" t="s">
        <v>105</v>
      </c>
      <c r="Z126" s="1" t="s">
        <v>105</v>
      </c>
      <c r="AA126" s="1"/>
      <c r="AB126" s="1"/>
      <c r="AC126" s="1"/>
      <c r="AD126" s="1"/>
      <c r="AE126" s="1"/>
      <c r="AF126" s="1"/>
      <c r="AG126" s="1"/>
      <c r="AH126" s="1"/>
      <c r="AI126" s="61"/>
    </row>
    <row r="127" spans="1:35" ht="30">
      <c r="A127" s="1"/>
      <c r="B127" s="107" t="s">
        <v>97</v>
      </c>
      <c r="C127" s="1" t="s">
        <v>96</v>
      </c>
      <c r="D127" s="65" t="s">
        <v>576</v>
      </c>
      <c r="E127" s="12" t="s">
        <v>403</v>
      </c>
      <c r="F127" s="1" t="s">
        <v>12</v>
      </c>
      <c r="G127" s="55" t="s">
        <v>11</v>
      </c>
      <c r="H127" s="55" t="s">
        <v>101</v>
      </c>
      <c r="I127" s="12" t="s">
        <v>112</v>
      </c>
      <c r="J127" s="12" t="s">
        <v>107</v>
      </c>
      <c r="K127" s="12"/>
      <c r="L127" s="11" t="s">
        <v>577</v>
      </c>
      <c r="M127" s="1"/>
      <c r="N127" s="1"/>
      <c r="O127" s="1" t="s">
        <v>105</v>
      </c>
      <c r="P127" s="1" t="s">
        <v>105</v>
      </c>
      <c r="Q127" s="1"/>
      <c r="R127" s="1"/>
      <c r="S127" s="1" t="s">
        <v>105</v>
      </c>
      <c r="T127" s="1" t="s">
        <v>105</v>
      </c>
      <c r="U127" s="1"/>
      <c r="V127" s="1" t="s">
        <v>105</v>
      </c>
      <c r="W127" s="1"/>
      <c r="X127" s="1"/>
      <c r="Y127" s="1" t="s">
        <v>105</v>
      </c>
      <c r="Z127" s="1" t="s">
        <v>105</v>
      </c>
      <c r="AA127" s="1"/>
      <c r="AB127" s="1"/>
      <c r="AC127" s="1"/>
      <c r="AD127" s="1" t="s">
        <v>105</v>
      </c>
      <c r="AE127" s="1"/>
      <c r="AF127" s="1" t="s">
        <v>105</v>
      </c>
      <c r="AG127" s="1"/>
      <c r="AH127" s="1"/>
      <c r="AI127" s="61"/>
    </row>
    <row r="128" spans="1:35" ht="30">
      <c r="A128" s="1"/>
      <c r="B128" s="107" t="s">
        <v>97</v>
      </c>
      <c r="C128" s="1" t="s">
        <v>97</v>
      </c>
      <c r="D128" s="290" t="s">
        <v>578</v>
      </c>
      <c r="E128" s="65" t="s">
        <v>370</v>
      </c>
      <c r="F128" s="1" t="s">
        <v>12</v>
      </c>
      <c r="G128" s="55" t="s">
        <v>11</v>
      </c>
      <c r="H128" s="55" t="s">
        <v>101</v>
      </c>
      <c r="I128" s="12" t="s">
        <v>112</v>
      </c>
      <c r="J128" s="12" t="s">
        <v>107</v>
      </c>
      <c r="K128" s="12"/>
      <c r="L128" s="11" t="s">
        <v>371</v>
      </c>
      <c r="M128" s="1"/>
      <c r="N128" s="1"/>
      <c r="O128" s="1"/>
      <c r="P128" s="1"/>
      <c r="Q128" s="1"/>
      <c r="R128" s="1"/>
      <c r="S128" s="1" t="s">
        <v>105</v>
      </c>
      <c r="T128" s="1"/>
      <c r="U128" s="1" t="s">
        <v>372</v>
      </c>
      <c r="V128" s="1" t="s">
        <v>372</v>
      </c>
      <c r="W128" s="1"/>
      <c r="X128" s="1" t="s">
        <v>373</v>
      </c>
      <c r="Y128" s="1"/>
      <c r="Z128" s="1"/>
      <c r="AA128" s="1"/>
      <c r="AB128" s="1"/>
      <c r="AC128" s="1"/>
      <c r="AD128" s="1"/>
      <c r="AE128" s="1" t="s">
        <v>372</v>
      </c>
      <c r="AF128" s="1" t="s">
        <v>105</v>
      </c>
      <c r="AG128" s="1"/>
      <c r="AH128" s="1"/>
      <c r="AI128" s="61"/>
    </row>
    <row r="129" spans="1:35" ht="45">
      <c r="A129" s="1"/>
      <c r="B129" s="107" t="s">
        <v>97</v>
      </c>
      <c r="C129" s="1" t="s">
        <v>97</v>
      </c>
      <c r="D129" s="288" t="s">
        <v>579</v>
      </c>
      <c r="E129" s="65" t="s">
        <v>370</v>
      </c>
      <c r="F129" s="1" t="s">
        <v>12</v>
      </c>
      <c r="G129" s="55" t="s">
        <v>11</v>
      </c>
      <c r="H129" s="55" t="s">
        <v>101</v>
      </c>
      <c r="I129" s="12" t="s">
        <v>580</v>
      </c>
      <c r="J129" s="12" t="s">
        <v>342</v>
      </c>
      <c r="K129" s="12" t="s">
        <v>376</v>
      </c>
      <c r="L129" s="11" t="s">
        <v>377</v>
      </c>
      <c r="M129" s="1"/>
      <c r="N129" s="1"/>
      <c r="O129" s="1"/>
      <c r="P129" s="1"/>
      <c r="Q129" s="1"/>
      <c r="R129" s="1"/>
      <c r="S129" s="1" t="s">
        <v>105</v>
      </c>
      <c r="T129" s="1"/>
      <c r="U129" s="1"/>
      <c r="V129" s="1"/>
      <c r="W129" s="1"/>
      <c r="X129" s="1"/>
      <c r="Y129" s="1" t="s">
        <v>372</v>
      </c>
      <c r="Z129" s="1"/>
      <c r="AA129" s="1"/>
      <c r="AB129" s="1"/>
      <c r="AC129" s="1"/>
      <c r="AD129" s="1"/>
      <c r="AE129" s="1" t="s">
        <v>105</v>
      </c>
      <c r="AF129" s="1"/>
      <c r="AG129" s="1"/>
      <c r="AH129" s="1"/>
      <c r="AI129" s="61"/>
    </row>
    <row r="130" spans="1:35" ht="30">
      <c r="A130" s="1"/>
      <c r="B130" s="107" t="s">
        <v>97</v>
      </c>
      <c r="C130" s="1" t="s">
        <v>97</v>
      </c>
      <c r="D130" s="288" t="s">
        <v>581</v>
      </c>
      <c r="E130" s="65" t="s">
        <v>370</v>
      </c>
      <c r="F130" s="1" t="s">
        <v>12</v>
      </c>
      <c r="G130" s="55" t="s">
        <v>11</v>
      </c>
      <c r="H130" s="55" t="s">
        <v>101</v>
      </c>
      <c r="I130" s="12" t="s">
        <v>375</v>
      </c>
      <c r="J130" s="12" t="s">
        <v>342</v>
      </c>
      <c r="K130" s="12" t="s">
        <v>376</v>
      </c>
      <c r="L130" s="11" t="s">
        <v>377</v>
      </c>
      <c r="M130" s="1"/>
      <c r="N130" s="1"/>
      <c r="O130" s="1"/>
      <c r="P130" s="1"/>
      <c r="Q130" s="1"/>
      <c r="R130" s="1"/>
      <c r="S130" s="1" t="s">
        <v>105</v>
      </c>
      <c r="T130" s="1"/>
      <c r="U130" s="1"/>
      <c r="V130" s="1"/>
      <c r="W130" s="1"/>
      <c r="X130" s="1"/>
      <c r="Y130" s="1" t="s">
        <v>372</v>
      </c>
      <c r="Z130" s="1"/>
      <c r="AA130" s="1"/>
      <c r="AB130" s="1"/>
      <c r="AC130" s="1"/>
      <c r="AD130" s="1"/>
      <c r="AE130" s="1" t="s">
        <v>105</v>
      </c>
      <c r="AF130" s="1"/>
      <c r="AG130" s="1"/>
      <c r="AH130" s="1"/>
      <c r="AI130" s="61"/>
    </row>
    <row r="131" spans="1:35" ht="30">
      <c r="A131" s="1"/>
      <c r="B131" s="107" t="s">
        <v>97</v>
      </c>
      <c r="C131" s="1" t="s">
        <v>97</v>
      </c>
      <c r="D131" s="288" t="s">
        <v>582</v>
      </c>
      <c r="E131" s="65" t="s">
        <v>370</v>
      </c>
      <c r="F131" s="1" t="s">
        <v>12</v>
      </c>
      <c r="G131" s="55" t="s">
        <v>11</v>
      </c>
      <c r="H131" s="55" t="s">
        <v>101</v>
      </c>
      <c r="I131" s="12" t="s">
        <v>112</v>
      </c>
      <c r="J131" s="12" t="s">
        <v>107</v>
      </c>
      <c r="K131" s="12"/>
      <c r="L131" s="11" t="s">
        <v>371</v>
      </c>
      <c r="M131" s="1"/>
      <c r="N131" s="1"/>
      <c r="O131" s="1"/>
      <c r="P131" s="1"/>
      <c r="Q131" s="1"/>
      <c r="R131" s="1"/>
      <c r="S131" s="1" t="s">
        <v>105</v>
      </c>
      <c r="T131" s="1"/>
      <c r="U131" s="1" t="s">
        <v>372</v>
      </c>
      <c r="V131" s="1" t="s">
        <v>372</v>
      </c>
      <c r="W131" s="1"/>
      <c r="X131" s="1" t="s">
        <v>373</v>
      </c>
      <c r="Y131" s="1"/>
      <c r="Z131" s="1"/>
      <c r="AA131" s="1"/>
      <c r="AB131" s="1"/>
      <c r="AC131" s="1"/>
      <c r="AD131" s="1"/>
      <c r="AE131" s="1" t="s">
        <v>105</v>
      </c>
      <c r="AF131" s="1" t="s">
        <v>105</v>
      </c>
      <c r="AG131" s="1"/>
      <c r="AH131" s="1"/>
      <c r="AI131" s="61"/>
    </row>
    <row r="132" spans="1:35" ht="30">
      <c r="A132" s="1"/>
      <c r="B132" s="107" t="s">
        <v>97</v>
      </c>
      <c r="C132" s="1" t="s">
        <v>97</v>
      </c>
      <c r="D132" s="288" t="s">
        <v>583</v>
      </c>
      <c r="E132" s="65" t="s">
        <v>370</v>
      </c>
      <c r="F132" s="1" t="s">
        <v>12</v>
      </c>
      <c r="G132" s="55" t="s">
        <v>11</v>
      </c>
      <c r="H132" s="55" t="s">
        <v>101</v>
      </c>
      <c r="I132" s="12" t="s">
        <v>112</v>
      </c>
      <c r="J132" s="12" t="s">
        <v>107</v>
      </c>
      <c r="K132" s="12" t="s">
        <v>584</v>
      </c>
      <c r="L132" s="11" t="s">
        <v>585</v>
      </c>
      <c r="M132" s="1"/>
      <c r="N132" s="1"/>
      <c r="O132" s="1"/>
      <c r="P132" s="1"/>
      <c r="Q132" s="1"/>
      <c r="R132" s="1"/>
      <c r="S132" s="1" t="s">
        <v>105</v>
      </c>
      <c r="T132" s="1" t="s">
        <v>105</v>
      </c>
      <c r="U132" s="1" t="s">
        <v>372</v>
      </c>
      <c r="V132" s="1"/>
      <c r="W132" s="1"/>
      <c r="X132" s="1"/>
      <c r="Y132" s="1" t="s">
        <v>372</v>
      </c>
      <c r="Z132" s="1"/>
      <c r="AA132" s="1"/>
      <c r="AB132" s="1"/>
      <c r="AC132" s="1"/>
      <c r="AD132" s="1"/>
      <c r="AE132" s="1" t="s">
        <v>105</v>
      </c>
      <c r="AF132" s="1" t="s">
        <v>105</v>
      </c>
      <c r="AG132" s="1"/>
      <c r="AH132" s="1"/>
      <c r="AI132" s="61"/>
    </row>
    <row r="133" spans="1:35" ht="30">
      <c r="A133" s="1"/>
      <c r="B133" s="107" t="s">
        <v>97</v>
      </c>
      <c r="C133" s="1" t="s">
        <v>97</v>
      </c>
      <c r="D133" s="289" t="s">
        <v>586</v>
      </c>
      <c r="E133" s="12" t="s">
        <v>344</v>
      </c>
      <c r="F133" s="1" t="s">
        <v>12</v>
      </c>
      <c r="G133" s="55" t="s">
        <v>11</v>
      </c>
      <c r="H133" s="55" t="s">
        <v>101</v>
      </c>
      <c r="I133" s="12" t="s">
        <v>375</v>
      </c>
      <c r="J133" s="12" t="s">
        <v>383</v>
      </c>
      <c r="K133" s="12" t="s">
        <v>376</v>
      </c>
      <c r="L133" s="11" t="s">
        <v>587</v>
      </c>
      <c r="M133" s="1"/>
      <c r="N133" s="1"/>
      <c r="O133" s="1"/>
      <c r="P133" s="1"/>
      <c r="Q133" s="1"/>
      <c r="R133" s="1"/>
      <c r="S133" s="1" t="s">
        <v>105</v>
      </c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 t="s">
        <v>385</v>
      </c>
      <c r="AF133" s="1"/>
      <c r="AG133" s="1"/>
      <c r="AH133" s="1"/>
      <c r="AI133" s="61"/>
    </row>
    <row r="134" spans="1:35" ht="30">
      <c r="A134" s="1"/>
      <c r="B134" s="107" t="s">
        <v>97</v>
      </c>
      <c r="C134" s="1" t="s">
        <v>97</v>
      </c>
      <c r="D134" s="289" t="s">
        <v>588</v>
      </c>
      <c r="E134" s="12" t="s">
        <v>344</v>
      </c>
      <c r="F134" s="1" t="s">
        <v>12</v>
      </c>
      <c r="G134" s="55" t="s">
        <v>11</v>
      </c>
      <c r="H134" s="55" t="s">
        <v>101</v>
      </c>
      <c r="I134" s="12" t="s">
        <v>112</v>
      </c>
      <c r="J134" s="12" t="s">
        <v>383</v>
      </c>
      <c r="K134" s="12"/>
      <c r="L134" s="11" t="s">
        <v>589</v>
      </c>
      <c r="M134" s="1"/>
      <c r="N134" s="1" t="s">
        <v>105</v>
      </c>
      <c r="O134" s="1" t="s">
        <v>372</v>
      </c>
      <c r="P134" s="1" t="s">
        <v>372</v>
      </c>
      <c r="Q134" s="1"/>
      <c r="R134" s="1"/>
      <c r="S134" s="1" t="s">
        <v>105</v>
      </c>
      <c r="T134" s="1" t="s">
        <v>105</v>
      </c>
      <c r="U134" s="1" t="s">
        <v>372</v>
      </c>
      <c r="V134" s="1"/>
      <c r="W134" s="1"/>
      <c r="X134" s="1"/>
      <c r="Y134" s="1" t="s">
        <v>105</v>
      </c>
      <c r="Z134" s="1"/>
      <c r="AA134" s="1"/>
      <c r="AB134" s="1"/>
      <c r="AC134" s="1"/>
      <c r="AD134" s="1"/>
      <c r="AE134" s="1" t="s">
        <v>105</v>
      </c>
      <c r="AF134" s="1" t="s">
        <v>105</v>
      </c>
      <c r="AG134" s="1"/>
      <c r="AH134" s="1"/>
      <c r="AI134" s="61"/>
    </row>
    <row r="135" spans="1:35" ht="30">
      <c r="A135" s="1"/>
      <c r="B135" s="107" t="s">
        <v>97</v>
      </c>
      <c r="C135" s="1" t="s">
        <v>96</v>
      </c>
      <c r="D135" s="289" t="s">
        <v>590</v>
      </c>
      <c r="E135" s="12" t="s">
        <v>344</v>
      </c>
      <c r="F135" s="1" t="s">
        <v>12</v>
      </c>
      <c r="G135" s="55" t="s">
        <v>11</v>
      </c>
      <c r="H135" s="55" t="s">
        <v>101</v>
      </c>
      <c r="I135" s="12" t="s">
        <v>112</v>
      </c>
      <c r="J135" s="12" t="s">
        <v>383</v>
      </c>
      <c r="K135" s="12"/>
      <c r="L135" s="11" t="s">
        <v>591</v>
      </c>
      <c r="M135" s="1"/>
      <c r="N135" s="1" t="s">
        <v>105</v>
      </c>
      <c r="O135" s="1"/>
      <c r="P135" s="1" t="s">
        <v>372</v>
      </c>
      <c r="Q135" s="1"/>
      <c r="R135" s="1"/>
      <c r="S135" s="1" t="s">
        <v>105</v>
      </c>
      <c r="T135" s="1" t="s">
        <v>105</v>
      </c>
      <c r="U135" s="1" t="s">
        <v>105</v>
      </c>
      <c r="V135" s="1"/>
      <c r="W135" s="1"/>
      <c r="X135" s="1" t="s">
        <v>373</v>
      </c>
      <c r="Y135" s="1" t="s">
        <v>105</v>
      </c>
      <c r="Z135" s="1"/>
      <c r="AA135" s="1"/>
      <c r="AB135" s="1" t="s">
        <v>372</v>
      </c>
      <c r="AC135" s="1"/>
      <c r="AD135" s="1"/>
      <c r="AE135" s="1" t="s">
        <v>105</v>
      </c>
      <c r="AF135" s="1" t="s">
        <v>105</v>
      </c>
      <c r="AG135" s="1" t="s">
        <v>372</v>
      </c>
      <c r="AH135" s="1"/>
      <c r="AI135" s="61"/>
    </row>
    <row r="136" spans="1:35" ht="30">
      <c r="A136" s="1"/>
      <c r="B136" s="107" t="s">
        <v>97</v>
      </c>
      <c r="C136" s="1" t="s">
        <v>97</v>
      </c>
      <c r="D136" s="289" t="s">
        <v>592</v>
      </c>
      <c r="E136" s="12" t="s">
        <v>344</v>
      </c>
      <c r="F136" s="1" t="s">
        <v>12</v>
      </c>
      <c r="G136" s="55" t="s">
        <v>11</v>
      </c>
      <c r="H136" s="55" t="s">
        <v>101</v>
      </c>
      <c r="I136" s="12" t="s">
        <v>112</v>
      </c>
      <c r="J136" s="12" t="s">
        <v>383</v>
      </c>
      <c r="K136" s="12"/>
      <c r="L136" s="11" t="s">
        <v>391</v>
      </c>
      <c r="M136" s="1"/>
      <c r="N136" s="1"/>
      <c r="O136" s="1"/>
      <c r="P136" s="1" t="s">
        <v>372</v>
      </c>
      <c r="Q136" s="1"/>
      <c r="R136" s="1"/>
      <c r="S136" s="1" t="s">
        <v>105</v>
      </c>
      <c r="T136" s="1" t="s">
        <v>105</v>
      </c>
      <c r="U136" s="1" t="s">
        <v>372</v>
      </c>
      <c r="V136" s="1" t="s">
        <v>372</v>
      </c>
      <c r="W136" s="1"/>
      <c r="X136" s="1"/>
      <c r="Y136" s="1" t="s">
        <v>105</v>
      </c>
      <c r="Z136" s="1"/>
      <c r="AA136" s="1"/>
      <c r="AB136" s="1" t="s">
        <v>372</v>
      </c>
      <c r="AC136" s="1"/>
      <c r="AD136" s="1"/>
      <c r="AE136" s="1" t="s">
        <v>105</v>
      </c>
      <c r="AF136" s="1" t="s">
        <v>105</v>
      </c>
      <c r="AG136" s="1"/>
      <c r="AH136" s="1"/>
      <c r="AI136" s="61"/>
    </row>
    <row r="137" spans="1:35">
      <c r="A137" s="1"/>
      <c r="B137" s="107" t="s">
        <v>97</v>
      </c>
      <c r="C137" s="1" t="s">
        <v>97</v>
      </c>
      <c r="D137" s="289" t="s">
        <v>593</v>
      </c>
      <c r="E137" s="65" t="s">
        <v>520</v>
      </c>
      <c r="F137" s="1"/>
      <c r="G137" s="55"/>
      <c r="H137" s="55" t="s">
        <v>101</v>
      </c>
      <c r="I137" s="12" t="s">
        <v>112</v>
      </c>
      <c r="J137" s="12" t="s">
        <v>107</v>
      </c>
      <c r="K137" s="12"/>
      <c r="L137" s="11" t="s">
        <v>594</v>
      </c>
      <c r="M137" s="1"/>
      <c r="N137" s="1"/>
      <c r="O137" s="1"/>
      <c r="P137" s="1"/>
      <c r="Q137" s="1"/>
      <c r="R137" s="1"/>
      <c r="S137" s="1" t="s">
        <v>105</v>
      </c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61"/>
    </row>
    <row r="138" spans="1:35">
      <c r="A138" s="1"/>
      <c r="B138" s="107" t="s">
        <v>97</v>
      </c>
      <c r="C138" s="1" t="s">
        <v>97</v>
      </c>
      <c r="D138" s="289" t="s">
        <v>595</v>
      </c>
      <c r="E138" s="65" t="s">
        <v>520</v>
      </c>
      <c r="F138" s="1"/>
      <c r="G138" s="55"/>
      <c r="H138" s="55" t="s">
        <v>101</v>
      </c>
      <c r="I138" s="12" t="s">
        <v>112</v>
      </c>
      <c r="J138" s="12" t="s">
        <v>107</v>
      </c>
      <c r="K138" s="12"/>
      <c r="L138" s="11" t="s">
        <v>362</v>
      </c>
      <c r="M138" s="1"/>
      <c r="N138" s="1"/>
      <c r="O138" s="1"/>
      <c r="P138" s="1"/>
      <c r="Q138" s="1"/>
      <c r="R138" s="1"/>
      <c r="S138" s="1" t="s">
        <v>105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61"/>
    </row>
    <row r="139" spans="1:35" ht="30">
      <c r="A139" s="1"/>
      <c r="B139" s="107" t="s">
        <v>97</v>
      </c>
      <c r="C139" s="1" t="s">
        <v>97</v>
      </c>
      <c r="D139" s="12" t="s">
        <v>596</v>
      </c>
      <c r="E139" s="12"/>
      <c r="F139" s="1" t="s">
        <v>12</v>
      </c>
      <c r="G139" s="55" t="s">
        <v>458</v>
      </c>
      <c r="H139" s="55"/>
      <c r="I139" s="12"/>
      <c r="J139" s="12"/>
      <c r="K139" s="12" t="s">
        <v>597</v>
      </c>
      <c r="L139" s="1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61"/>
    </row>
    <row r="140" spans="1:35" ht="30">
      <c r="A140" s="1"/>
      <c r="B140" s="107" t="s">
        <v>97</v>
      </c>
      <c r="C140" s="1" t="s">
        <v>97</v>
      </c>
      <c r="D140" s="11" t="s">
        <v>598</v>
      </c>
      <c r="E140" s="12" t="s">
        <v>403</v>
      </c>
      <c r="F140" s="1" t="s">
        <v>12</v>
      </c>
      <c r="G140" s="55" t="s">
        <v>11</v>
      </c>
      <c r="H140" s="55" t="s">
        <v>101</v>
      </c>
      <c r="I140" s="12" t="s">
        <v>112</v>
      </c>
      <c r="J140" s="12" t="s">
        <v>107</v>
      </c>
      <c r="K140" s="12"/>
      <c r="L140" s="11" t="s">
        <v>362</v>
      </c>
      <c r="M140" s="1"/>
      <c r="N140" s="1"/>
      <c r="O140" s="1"/>
      <c r="P140" s="1"/>
      <c r="Q140" s="1"/>
      <c r="R140" s="1"/>
      <c r="S140" s="1" t="s">
        <v>105</v>
      </c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61"/>
    </row>
    <row r="141" spans="1:35" ht="30">
      <c r="A141" s="1"/>
      <c r="B141" s="107" t="s">
        <v>96</v>
      </c>
      <c r="C141" s="1" t="s">
        <v>96</v>
      </c>
      <c r="D141" s="11" t="s">
        <v>599</v>
      </c>
      <c r="E141" s="12" t="s">
        <v>403</v>
      </c>
      <c r="F141" s="1" t="s">
        <v>12</v>
      </c>
      <c r="G141" s="55" t="s">
        <v>11</v>
      </c>
      <c r="H141" s="55" t="s">
        <v>101</v>
      </c>
      <c r="I141" s="12" t="s">
        <v>112</v>
      </c>
      <c r="J141" s="12" t="s">
        <v>107</v>
      </c>
      <c r="K141" s="12"/>
      <c r="L141" s="11" t="s">
        <v>600</v>
      </c>
      <c r="M141" s="1" t="s">
        <v>105</v>
      </c>
      <c r="N141" s="1" t="s">
        <v>105</v>
      </c>
      <c r="O141" s="1"/>
      <c r="P141" s="1"/>
      <c r="Q141" s="1"/>
      <c r="R141" s="1"/>
      <c r="S141" s="1" t="s">
        <v>105</v>
      </c>
      <c r="T141" s="1" t="s">
        <v>105</v>
      </c>
      <c r="U141" s="1"/>
      <c r="V141" s="1"/>
      <c r="W141" s="1"/>
      <c r="X141" s="1"/>
      <c r="Y141" s="1"/>
      <c r="Z141" s="1" t="s">
        <v>105</v>
      </c>
      <c r="AA141" s="1"/>
      <c r="AB141" s="1"/>
      <c r="AC141" s="1"/>
      <c r="AD141" s="1"/>
      <c r="AE141" s="1"/>
      <c r="AF141" s="1"/>
      <c r="AG141" s="1"/>
      <c r="AH141" s="1"/>
      <c r="AI141" s="61"/>
    </row>
    <row r="142" spans="1:35" ht="30">
      <c r="A142" s="1"/>
      <c r="B142" s="107" t="s">
        <v>96</v>
      </c>
      <c r="C142" s="1" t="s">
        <v>96</v>
      </c>
      <c r="D142" s="12" t="s">
        <v>601</v>
      </c>
      <c r="E142" s="12" t="s">
        <v>403</v>
      </c>
      <c r="F142" s="1" t="s">
        <v>12</v>
      </c>
      <c r="G142" s="55" t="s">
        <v>11</v>
      </c>
      <c r="H142" s="12" t="s">
        <v>101</v>
      </c>
      <c r="I142" s="12" t="s">
        <v>112</v>
      </c>
      <c r="J142" s="12" t="s">
        <v>114</v>
      </c>
      <c r="K142" s="12"/>
      <c r="L142" s="11" t="s">
        <v>602</v>
      </c>
      <c r="M142" s="1"/>
      <c r="N142" s="1"/>
      <c r="O142" s="1" t="s">
        <v>105</v>
      </c>
      <c r="P142" s="1" t="s">
        <v>105</v>
      </c>
      <c r="Q142" s="1"/>
      <c r="R142" s="1" t="s">
        <v>105</v>
      </c>
      <c r="S142" s="1" t="s">
        <v>105</v>
      </c>
      <c r="T142" s="1" t="s">
        <v>105</v>
      </c>
      <c r="U142" s="1"/>
      <c r="V142" s="1" t="s">
        <v>105</v>
      </c>
      <c r="W142" s="1"/>
      <c r="X142" s="1"/>
      <c r="Y142" s="1" t="s">
        <v>105</v>
      </c>
      <c r="Z142" s="1"/>
      <c r="AA142" s="1"/>
      <c r="AB142" s="1"/>
      <c r="AC142" s="1"/>
      <c r="AD142" s="1" t="s">
        <v>105</v>
      </c>
      <c r="AE142" s="1"/>
      <c r="AF142" s="1" t="s">
        <v>105</v>
      </c>
      <c r="AG142" s="1"/>
      <c r="AH142" s="1"/>
      <c r="AI142" s="61"/>
    </row>
    <row r="143" spans="1:35" ht="30">
      <c r="A143" s="1"/>
      <c r="B143" s="107" t="s">
        <v>96</v>
      </c>
      <c r="C143" s="1" t="s">
        <v>97</v>
      </c>
      <c r="D143" s="11" t="s">
        <v>603</v>
      </c>
      <c r="E143" s="65" t="s">
        <v>403</v>
      </c>
      <c r="F143" s="1" t="s">
        <v>12</v>
      </c>
      <c r="G143" s="55" t="s">
        <v>11</v>
      </c>
      <c r="H143" s="55" t="s">
        <v>101</v>
      </c>
      <c r="I143" s="12" t="s">
        <v>112</v>
      </c>
      <c r="J143" s="12" t="s">
        <v>107</v>
      </c>
      <c r="K143" s="12"/>
      <c r="L143" s="11" t="s">
        <v>92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 t="s">
        <v>105</v>
      </c>
      <c r="AH143" s="1"/>
      <c r="AI143" s="61"/>
    </row>
    <row r="144" spans="1:35" ht="30">
      <c r="A144" s="1"/>
      <c r="B144" s="107" t="s">
        <v>97</v>
      </c>
      <c r="C144" s="1" t="s">
        <v>97</v>
      </c>
      <c r="D144" s="55" t="s">
        <v>604</v>
      </c>
      <c r="E144" s="12" t="s">
        <v>344</v>
      </c>
      <c r="F144" s="1" t="s">
        <v>12</v>
      </c>
      <c r="G144" s="55" t="s">
        <v>11</v>
      </c>
      <c r="H144" s="55" t="s">
        <v>101</v>
      </c>
      <c r="I144" s="12" t="s">
        <v>112</v>
      </c>
      <c r="J144" s="12" t="s">
        <v>107</v>
      </c>
      <c r="K144" s="12"/>
      <c r="L144" s="55" t="s">
        <v>362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61"/>
    </row>
    <row r="145" spans="1:35" ht="30">
      <c r="A145" s="1"/>
      <c r="B145" s="107" t="s">
        <v>97</v>
      </c>
      <c r="C145" s="1" t="s">
        <v>97</v>
      </c>
      <c r="D145" s="12" t="s">
        <v>605</v>
      </c>
      <c r="E145" s="12" t="s">
        <v>344</v>
      </c>
      <c r="F145" s="1" t="s">
        <v>12</v>
      </c>
      <c r="G145" s="55" t="s">
        <v>11</v>
      </c>
      <c r="H145" s="55" t="s">
        <v>101</v>
      </c>
      <c r="I145" s="12" t="s">
        <v>112</v>
      </c>
      <c r="J145" s="12" t="s">
        <v>107</v>
      </c>
      <c r="K145" s="12"/>
      <c r="L145" s="55" t="s">
        <v>362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61"/>
    </row>
    <row r="146" spans="1:35" ht="30">
      <c r="A146" s="1"/>
      <c r="B146" s="107" t="s">
        <v>96</v>
      </c>
      <c r="C146" s="1" t="s">
        <v>97</v>
      </c>
      <c r="D146" s="11" t="s">
        <v>606</v>
      </c>
      <c r="E146" s="65" t="s">
        <v>344</v>
      </c>
      <c r="F146" s="1" t="s">
        <v>12</v>
      </c>
      <c r="G146" s="55" t="s">
        <v>11</v>
      </c>
      <c r="H146" s="55" t="s">
        <v>101</v>
      </c>
      <c r="I146" s="12" t="s">
        <v>112</v>
      </c>
      <c r="J146" s="12" t="s">
        <v>383</v>
      </c>
      <c r="K146" s="12"/>
      <c r="L146" s="11" t="s">
        <v>607</v>
      </c>
      <c r="M146" s="1"/>
      <c r="N146" s="1" t="s">
        <v>401</v>
      </c>
      <c r="O146" s="1"/>
      <c r="P146" s="1"/>
      <c r="Q146" s="1"/>
      <c r="R146" s="1"/>
      <c r="S146" s="1" t="s">
        <v>105</v>
      </c>
      <c r="T146" s="1" t="s">
        <v>105</v>
      </c>
      <c r="U146" s="1"/>
      <c r="V146" s="1"/>
      <c r="W146" s="1"/>
      <c r="X146" s="1"/>
      <c r="Y146" s="1" t="s">
        <v>105</v>
      </c>
      <c r="Z146" s="1"/>
      <c r="AA146" s="1"/>
      <c r="AB146" s="1"/>
      <c r="AC146" s="1"/>
      <c r="AD146" s="1"/>
      <c r="AE146" s="1"/>
      <c r="AF146" s="1" t="s">
        <v>105</v>
      </c>
      <c r="AG146" s="1"/>
      <c r="AH146" s="1"/>
      <c r="AI146" s="61"/>
    </row>
    <row r="147" spans="1:35" ht="30">
      <c r="A147" s="1"/>
      <c r="B147" s="107" t="s">
        <v>96</v>
      </c>
      <c r="C147" s="1" t="s">
        <v>97</v>
      </c>
      <c r="D147" s="11" t="s">
        <v>608</v>
      </c>
      <c r="E147" s="65" t="s">
        <v>609</v>
      </c>
      <c r="F147" s="1" t="s">
        <v>12</v>
      </c>
      <c r="G147" s="55" t="s">
        <v>11</v>
      </c>
      <c r="H147" s="55" t="s">
        <v>101</v>
      </c>
      <c r="I147" s="12" t="s">
        <v>112</v>
      </c>
      <c r="J147" s="65" t="s">
        <v>383</v>
      </c>
      <c r="K147" s="65"/>
      <c r="L147" s="11" t="s">
        <v>610</v>
      </c>
      <c r="M147" s="1"/>
      <c r="N147" s="1" t="s">
        <v>401</v>
      </c>
      <c r="O147" s="1"/>
      <c r="P147" s="1"/>
      <c r="Q147" s="1"/>
      <c r="R147" s="1"/>
      <c r="S147" s="1" t="s">
        <v>105</v>
      </c>
      <c r="T147" s="1" t="s">
        <v>105</v>
      </c>
      <c r="U147" s="1" t="s">
        <v>105</v>
      </c>
      <c r="V147" s="1" t="s">
        <v>105</v>
      </c>
      <c r="W147" s="1"/>
      <c r="X147" s="1"/>
      <c r="Y147" s="1" t="s">
        <v>105</v>
      </c>
      <c r="Z147" s="1"/>
      <c r="AA147" s="1"/>
      <c r="AB147" s="1"/>
      <c r="AC147" s="1"/>
      <c r="AD147" s="1"/>
      <c r="AE147" s="1"/>
      <c r="AF147" s="1" t="s">
        <v>105</v>
      </c>
      <c r="AG147" s="1"/>
      <c r="AH147" s="1"/>
      <c r="AI147" s="61"/>
    </row>
    <row r="148" spans="1:35" ht="30">
      <c r="A148" s="1"/>
      <c r="B148" s="107" t="s">
        <v>97</v>
      </c>
      <c r="C148" s="1" t="s">
        <v>97</v>
      </c>
      <c r="D148" s="65" t="s">
        <v>611</v>
      </c>
      <c r="E148" s="65" t="s">
        <v>344</v>
      </c>
      <c r="F148" s="1" t="s">
        <v>12</v>
      </c>
      <c r="G148" s="55" t="s">
        <v>11</v>
      </c>
      <c r="H148" s="55" t="s">
        <v>101</v>
      </c>
      <c r="I148" s="12" t="s">
        <v>112</v>
      </c>
      <c r="J148" s="12" t="s">
        <v>383</v>
      </c>
      <c r="K148" s="12"/>
      <c r="L148" s="11" t="s">
        <v>612</v>
      </c>
      <c r="M148" s="1"/>
      <c r="N148" s="1" t="s">
        <v>401</v>
      </c>
      <c r="O148" s="1"/>
      <c r="P148" s="1"/>
      <c r="Q148" s="1"/>
      <c r="R148" s="1"/>
      <c r="S148" s="1" t="s">
        <v>105</v>
      </c>
      <c r="T148" s="1" t="s">
        <v>105</v>
      </c>
      <c r="U148" s="1" t="s">
        <v>105</v>
      </c>
      <c r="V148" s="1" t="s">
        <v>105</v>
      </c>
      <c r="W148" s="1"/>
      <c r="X148" s="1"/>
      <c r="Y148" s="1" t="s">
        <v>105</v>
      </c>
      <c r="Z148" s="1"/>
      <c r="AA148" s="1"/>
      <c r="AB148" s="1"/>
      <c r="AC148" s="1"/>
      <c r="AD148" s="1"/>
      <c r="AE148" s="1"/>
      <c r="AF148" s="1" t="s">
        <v>105</v>
      </c>
      <c r="AG148" s="1"/>
      <c r="AH148" s="1"/>
      <c r="AI148" s="61"/>
    </row>
    <row r="149" spans="1:35" ht="30">
      <c r="A149" s="1"/>
      <c r="B149" s="107" t="s">
        <v>96</v>
      </c>
      <c r="C149" s="1" t="s">
        <v>97</v>
      </c>
      <c r="D149" s="11" t="s">
        <v>613</v>
      </c>
      <c r="E149" s="65" t="s">
        <v>344</v>
      </c>
      <c r="F149" s="1" t="s">
        <v>12</v>
      </c>
      <c r="G149" s="55" t="s">
        <v>11</v>
      </c>
      <c r="H149" s="55" t="s">
        <v>101</v>
      </c>
      <c r="I149" s="12" t="s">
        <v>112</v>
      </c>
      <c r="J149" s="12" t="s">
        <v>383</v>
      </c>
      <c r="K149" s="12"/>
      <c r="L149" s="11" t="s">
        <v>612</v>
      </c>
      <c r="M149" s="1"/>
      <c r="N149" s="1" t="s">
        <v>401</v>
      </c>
      <c r="O149" s="1"/>
      <c r="P149" s="1"/>
      <c r="Q149" s="1"/>
      <c r="R149" s="1"/>
      <c r="S149" s="1" t="s">
        <v>105</v>
      </c>
      <c r="T149" s="1" t="s">
        <v>239</v>
      </c>
      <c r="U149" s="1"/>
      <c r="V149" s="1"/>
      <c r="W149" s="1"/>
      <c r="X149" s="1"/>
      <c r="Y149" s="1" t="s">
        <v>105</v>
      </c>
      <c r="Z149" s="1"/>
      <c r="AA149" s="1"/>
      <c r="AB149" s="1"/>
      <c r="AC149" s="1"/>
      <c r="AD149" s="1"/>
      <c r="AE149" s="1"/>
      <c r="AF149" s="1" t="s">
        <v>105</v>
      </c>
      <c r="AG149" s="1"/>
      <c r="AH149" s="1"/>
      <c r="AI149" s="61"/>
    </row>
    <row r="150" spans="1:35" ht="30">
      <c r="A150" s="1"/>
      <c r="B150" s="107" t="s">
        <v>97</v>
      </c>
      <c r="C150" s="1" t="s">
        <v>97</v>
      </c>
      <c r="D150" s="290" t="s">
        <v>614</v>
      </c>
      <c r="E150" s="12" t="s">
        <v>344</v>
      </c>
      <c r="F150" s="1" t="s">
        <v>12</v>
      </c>
      <c r="G150" s="55" t="s">
        <v>11</v>
      </c>
      <c r="H150" s="55" t="s">
        <v>101</v>
      </c>
      <c r="I150" s="12" t="s">
        <v>112</v>
      </c>
      <c r="J150" s="12" t="s">
        <v>107</v>
      </c>
      <c r="K150" s="12"/>
      <c r="L150" s="11" t="s">
        <v>615</v>
      </c>
      <c r="M150" s="1"/>
      <c r="N150" s="1"/>
      <c r="O150" s="1"/>
      <c r="P150" s="1"/>
      <c r="Q150" s="1"/>
      <c r="R150" s="1"/>
      <c r="S150" s="1" t="s">
        <v>105</v>
      </c>
      <c r="T150" s="1" t="s">
        <v>105</v>
      </c>
      <c r="U150" s="1"/>
      <c r="V150" s="1"/>
      <c r="W150" s="1"/>
      <c r="X150" s="1"/>
      <c r="Y150" s="1" t="s">
        <v>105</v>
      </c>
      <c r="Z150" s="1"/>
      <c r="AA150" s="1"/>
      <c r="AB150" s="1"/>
      <c r="AC150" s="1" t="s">
        <v>105</v>
      </c>
      <c r="AD150" s="1"/>
      <c r="AE150" s="1" t="s">
        <v>105</v>
      </c>
      <c r="AF150" s="1" t="s">
        <v>105</v>
      </c>
      <c r="AG150" s="1" t="s">
        <v>105</v>
      </c>
      <c r="AH150" s="1"/>
      <c r="AI150" s="61"/>
    </row>
    <row r="151" spans="1:35" ht="30">
      <c r="A151" s="1"/>
      <c r="B151" s="107" t="s">
        <v>307</v>
      </c>
      <c r="C151" s="1" t="s">
        <v>307</v>
      </c>
      <c r="D151" s="295" t="s">
        <v>616</v>
      </c>
      <c r="E151" s="12" t="s">
        <v>344</v>
      </c>
      <c r="F151" s="1" t="s">
        <v>12</v>
      </c>
      <c r="G151" s="55" t="s">
        <v>11</v>
      </c>
      <c r="H151" s="55" t="s">
        <v>101</v>
      </c>
      <c r="I151" s="12" t="s">
        <v>112</v>
      </c>
      <c r="J151" s="12" t="s">
        <v>107</v>
      </c>
      <c r="K151" s="12" t="s">
        <v>337</v>
      </c>
      <c r="L151" s="11" t="s">
        <v>617</v>
      </c>
      <c r="M151" s="1"/>
      <c r="N151" s="1"/>
      <c r="O151" s="1"/>
      <c r="P151" s="1"/>
      <c r="Q151" s="1"/>
      <c r="R151" s="1"/>
      <c r="S151" s="1"/>
      <c r="T151" s="1" t="s">
        <v>105</v>
      </c>
      <c r="U151" s="1" t="s">
        <v>105</v>
      </c>
      <c r="V151" s="1" t="s">
        <v>105</v>
      </c>
      <c r="W151" s="1"/>
      <c r="X151" s="1"/>
      <c r="Y151" s="1" t="s">
        <v>105</v>
      </c>
      <c r="Z151" s="1" t="s">
        <v>105</v>
      </c>
      <c r="AA151" s="1"/>
      <c r="AB151" s="1" t="s">
        <v>105</v>
      </c>
      <c r="AC151" s="1"/>
      <c r="AD151" s="1"/>
      <c r="AE151" s="1" t="s">
        <v>105</v>
      </c>
      <c r="AF151" s="1" t="s">
        <v>105</v>
      </c>
      <c r="AG151" s="1"/>
      <c r="AH151" s="1"/>
      <c r="AI151" s="61"/>
    </row>
    <row r="152" spans="1:35" ht="30">
      <c r="A152" s="1"/>
      <c r="B152" s="107" t="s">
        <v>96</v>
      </c>
      <c r="C152" s="1" t="s">
        <v>96</v>
      </c>
      <c r="D152" s="291" t="s">
        <v>618</v>
      </c>
      <c r="E152" s="12" t="s">
        <v>344</v>
      </c>
      <c r="F152" s="1" t="s">
        <v>12</v>
      </c>
      <c r="G152" s="55" t="s">
        <v>11</v>
      </c>
      <c r="H152" s="55" t="s">
        <v>101</v>
      </c>
      <c r="I152" s="12" t="s">
        <v>112</v>
      </c>
      <c r="J152" s="12" t="s">
        <v>107</v>
      </c>
      <c r="K152" s="12" t="s">
        <v>619</v>
      </c>
      <c r="L152" s="11" t="s">
        <v>620</v>
      </c>
      <c r="M152" s="1"/>
      <c r="N152" s="1" t="s">
        <v>621</v>
      </c>
      <c r="O152" s="1" t="s">
        <v>372</v>
      </c>
      <c r="P152" s="1" t="s">
        <v>372</v>
      </c>
      <c r="Q152" s="1"/>
      <c r="R152" s="1"/>
      <c r="S152" s="1" t="s">
        <v>105</v>
      </c>
      <c r="T152" s="1" t="s">
        <v>239</v>
      </c>
      <c r="U152" s="1" t="s">
        <v>372</v>
      </c>
      <c r="V152" s="1"/>
      <c r="W152" s="1"/>
      <c r="X152" s="1" t="s">
        <v>372</v>
      </c>
      <c r="Y152" s="1" t="s">
        <v>105</v>
      </c>
      <c r="Z152" s="1"/>
      <c r="AA152" s="1"/>
      <c r="AB152" s="1"/>
      <c r="AC152" s="1"/>
      <c r="AD152" s="1"/>
      <c r="AE152" s="1" t="s">
        <v>105</v>
      </c>
      <c r="AF152" s="1" t="s">
        <v>105</v>
      </c>
      <c r="AG152" s="1"/>
      <c r="AH152" s="1"/>
      <c r="AI152" s="61"/>
    </row>
    <row r="153" spans="1:35">
      <c r="A153" s="1"/>
      <c r="B153" s="107" t="s">
        <v>96</v>
      </c>
      <c r="C153" s="1" t="s">
        <v>97</v>
      </c>
      <c r="D153" s="12" t="s">
        <v>622</v>
      </c>
      <c r="E153" s="12" t="s">
        <v>422</v>
      </c>
      <c r="F153" s="1"/>
      <c r="G153" s="55"/>
      <c r="H153" s="55" t="s">
        <v>101</v>
      </c>
      <c r="I153" s="12" t="s">
        <v>112</v>
      </c>
      <c r="J153" s="12" t="s">
        <v>107</v>
      </c>
      <c r="K153" s="12"/>
      <c r="L153" s="11" t="s">
        <v>623</v>
      </c>
      <c r="M153" s="1"/>
      <c r="N153" s="1"/>
      <c r="O153" s="1"/>
      <c r="P153" s="1"/>
      <c r="Q153" s="1"/>
      <c r="R153" s="1"/>
      <c r="S153" s="1" t="s">
        <v>105</v>
      </c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61"/>
    </row>
    <row r="154" spans="1:35">
      <c r="A154" s="1"/>
      <c r="B154" s="107" t="s">
        <v>97</v>
      </c>
      <c r="C154" s="1" t="s">
        <v>97</v>
      </c>
      <c r="D154" s="12" t="s">
        <v>624</v>
      </c>
      <c r="E154" s="12" t="s">
        <v>344</v>
      </c>
      <c r="F154" s="1"/>
      <c r="G154" s="55"/>
      <c r="H154" s="55" t="s">
        <v>101</v>
      </c>
      <c r="I154" s="12" t="s">
        <v>112</v>
      </c>
      <c r="J154" s="12" t="s">
        <v>107</v>
      </c>
      <c r="K154" s="12"/>
      <c r="L154" s="11" t="s">
        <v>92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 t="s">
        <v>105</v>
      </c>
      <c r="AH154" s="1"/>
      <c r="AI154" s="61"/>
    </row>
    <row r="155" spans="1:35" ht="30">
      <c r="A155" s="1"/>
      <c r="B155" s="107" t="s">
        <v>307</v>
      </c>
      <c r="C155" s="1" t="s">
        <v>307</v>
      </c>
      <c r="D155" s="295" t="s">
        <v>625</v>
      </c>
      <c r="E155" s="12" t="s">
        <v>309</v>
      </c>
      <c r="F155" s="1" t="s">
        <v>12</v>
      </c>
      <c r="G155" s="55" t="s">
        <v>11</v>
      </c>
      <c r="H155" s="55" t="s">
        <v>101</v>
      </c>
      <c r="I155" s="12" t="s">
        <v>318</v>
      </c>
      <c r="J155" s="12" t="s">
        <v>107</v>
      </c>
      <c r="K155" s="12" t="s">
        <v>337</v>
      </c>
      <c r="L155" s="11" t="s">
        <v>92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 t="s">
        <v>105</v>
      </c>
      <c r="AH155" s="1"/>
      <c r="AI155" s="61"/>
    </row>
    <row r="156" spans="1:35" ht="30">
      <c r="A156" s="1"/>
      <c r="B156" s="107" t="s">
        <v>307</v>
      </c>
      <c r="C156" s="1" t="s">
        <v>307</v>
      </c>
      <c r="D156" s="295" t="s">
        <v>626</v>
      </c>
      <c r="E156" s="12" t="s">
        <v>1354</v>
      </c>
      <c r="F156" s="1" t="s">
        <v>12</v>
      </c>
      <c r="G156" s="55" t="s">
        <v>11</v>
      </c>
      <c r="H156" s="55" t="s">
        <v>101</v>
      </c>
      <c r="I156" s="12" t="s">
        <v>313</v>
      </c>
      <c r="J156" s="12" t="s">
        <v>107</v>
      </c>
      <c r="K156" s="12" t="s">
        <v>337</v>
      </c>
      <c r="L156" s="11" t="s">
        <v>92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 t="s">
        <v>105</v>
      </c>
      <c r="AH156" s="1"/>
      <c r="AI156" s="61"/>
    </row>
    <row r="157" spans="1:35" ht="30">
      <c r="A157" s="28"/>
      <c r="B157" s="107" t="s">
        <v>307</v>
      </c>
      <c r="C157" s="1" t="s">
        <v>97</v>
      </c>
      <c r="D157" s="295" t="s">
        <v>628</v>
      </c>
      <c r="E157" s="27" t="s">
        <v>1353</v>
      </c>
      <c r="F157" s="28" t="s">
        <v>12</v>
      </c>
      <c r="G157" s="76" t="s">
        <v>11</v>
      </c>
      <c r="H157" s="76" t="s">
        <v>145</v>
      </c>
      <c r="I157" s="27" t="s">
        <v>323</v>
      </c>
      <c r="J157" s="27"/>
      <c r="K157" s="12" t="s">
        <v>337</v>
      </c>
      <c r="L157" s="35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60"/>
    </row>
    <row r="158" spans="1:35" ht="30">
      <c r="A158" s="1"/>
      <c r="B158" s="107" t="s">
        <v>307</v>
      </c>
      <c r="C158" s="1" t="s">
        <v>97</v>
      </c>
      <c r="D158" s="293" t="s">
        <v>629</v>
      </c>
      <c r="E158" s="12" t="s">
        <v>344</v>
      </c>
      <c r="F158" s="1" t="s">
        <v>12</v>
      </c>
      <c r="G158" s="55" t="s">
        <v>11</v>
      </c>
      <c r="H158" s="55" t="s">
        <v>101</v>
      </c>
      <c r="I158" s="12" t="s">
        <v>318</v>
      </c>
      <c r="J158" s="12" t="s">
        <v>107</v>
      </c>
      <c r="K158" s="12" t="s">
        <v>630</v>
      </c>
      <c r="L158" s="1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61"/>
    </row>
    <row r="159" spans="1:35" ht="30">
      <c r="A159" s="1"/>
      <c r="B159" s="107" t="s">
        <v>307</v>
      </c>
      <c r="C159" s="1" t="s">
        <v>97</v>
      </c>
      <c r="D159" s="295" t="s">
        <v>631</v>
      </c>
      <c r="E159" s="12" t="s">
        <v>344</v>
      </c>
      <c r="F159" s="1" t="s">
        <v>12</v>
      </c>
      <c r="G159" s="55" t="s">
        <v>11</v>
      </c>
      <c r="H159" s="55" t="s">
        <v>101</v>
      </c>
      <c r="I159" s="12" t="s">
        <v>112</v>
      </c>
      <c r="J159" s="12" t="s">
        <v>107</v>
      </c>
      <c r="K159" s="12" t="s">
        <v>337</v>
      </c>
      <c r="L159" s="11" t="s">
        <v>632</v>
      </c>
      <c r="M159" s="1"/>
      <c r="N159" s="1"/>
      <c r="O159" s="1"/>
      <c r="P159" s="1" t="s">
        <v>105</v>
      </c>
      <c r="Q159" s="1"/>
      <c r="R159" s="1"/>
      <c r="S159" s="1"/>
      <c r="T159" s="1" t="s">
        <v>105</v>
      </c>
      <c r="U159" s="1" t="s">
        <v>105</v>
      </c>
      <c r="V159" s="1"/>
      <c r="W159" s="1"/>
      <c r="X159" s="1"/>
      <c r="Y159" s="1"/>
      <c r="Z159" s="1" t="s">
        <v>105</v>
      </c>
      <c r="AA159" s="1"/>
      <c r="AB159" s="1" t="s">
        <v>105</v>
      </c>
      <c r="AC159" s="1"/>
      <c r="AD159" s="1"/>
      <c r="AE159" s="1" t="s">
        <v>105</v>
      </c>
      <c r="AF159" s="1" t="s">
        <v>105</v>
      </c>
      <c r="AG159" s="1"/>
      <c r="AH159" s="1"/>
      <c r="AI159" s="61"/>
    </row>
    <row r="160" spans="1:35" ht="30">
      <c r="A160" s="1"/>
      <c r="B160" s="107" t="s">
        <v>307</v>
      </c>
      <c r="C160" s="1" t="s">
        <v>307</v>
      </c>
      <c r="D160" s="293" t="s">
        <v>633</v>
      </c>
      <c r="E160" s="12" t="s">
        <v>331</v>
      </c>
      <c r="F160" s="1" t="s">
        <v>310</v>
      </c>
      <c r="G160" s="55" t="s">
        <v>311</v>
      </c>
      <c r="H160" s="55" t="s">
        <v>312</v>
      </c>
      <c r="I160" s="12" t="s">
        <v>313</v>
      </c>
      <c r="J160" s="12" t="s">
        <v>342</v>
      </c>
      <c r="K160" s="12" t="s">
        <v>332</v>
      </c>
      <c r="L160" s="1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61"/>
    </row>
    <row r="161" spans="1:35" ht="30">
      <c r="A161" s="1"/>
      <c r="B161" s="107" t="s">
        <v>307</v>
      </c>
      <c r="C161" s="1" t="s">
        <v>307</v>
      </c>
      <c r="D161" s="295" t="s">
        <v>634</v>
      </c>
      <c r="E161" s="12" t="s">
        <v>336</v>
      </c>
      <c r="F161" s="1" t="s">
        <v>12</v>
      </c>
      <c r="G161" s="55" t="s">
        <v>11</v>
      </c>
      <c r="H161" s="55" t="s">
        <v>145</v>
      </c>
      <c r="I161" s="27" t="s">
        <v>323</v>
      </c>
      <c r="J161" s="12"/>
      <c r="K161" s="12" t="s">
        <v>337</v>
      </c>
      <c r="L161" s="1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61"/>
    </row>
    <row r="162" spans="1:35" ht="30">
      <c r="A162" s="1"/>
      <c r="B162" s="107" t="s">
        <v>97</v>
      </c>
      <c r="C162" s="1" t="s">
        <v>97</v>
      </c>
      <c r="D162" s="12" t="s">
        <v>636</v>
      </c>
      <c r="E162" s="12" t="s">
        <v>422</v>
      </c>
      <c r="F162" s="1" t="s">
        <v>12</v>
      </c>
      <c r="G162" s="55" t="s">
        <v>11</v>
      </c>
      <c r="H162" s="12" t="s">
        <v>145</v>
      </c>
      <c r="I162" s="12" t="s">
        <v>323</v>
      </c>
      <c r="J162" s="12" t="s">
        <v>342</v>
      </c>
      <c r="K162" s="12"/>
      <c r="L162" s="11" t="s">
        <v>362</v>
      </c>
      <c r="M162" s="1"/>
      <c r="N162" s="1"/>
      <c r="O162" s="1"/>
      <c r="P162" s="1"/>
      <c r="Q162" s="1"/>
      <c r="R162" s="1"/>
      <c r="S162" s="1" t="s">
        <v>105</v>
      </c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 t="s">
        <v>105</v>
      </c>
      <c r="AH162" s="1"/>
      <c r="AI162" s="61"/>
    </row>
    <row r="163" spans="1:35" ht="30">
      <c r="A163" s="1"/>
      <c r="B163" s="107" t="s">
        <v>97</v>
      </c>
      <c r="C163" s="1" t="s">
        <v>97</v>
      </c>
      <c r="D163" s="295" t="s">
        <v>637</v>
      </c>
      <c r="E163" s="12" t="s">
        <v>359</v>
      </c>
      <c r="F163" s="1" t="s">
        <v>12</v>
      </c>
      <c r="G163" s="55" t="s">
        <v>11</v>
      </c>
      <c r="H163" s="55" t="s">
        <v>312</v>
      </c>
      <c r="I163" s="12" t="s">
        <v>313</v>
      </c>
      <c r="J163" s="12"/>
      <c r="K163" s="12" t="s">
        <v>337</v>
      </c>
      <c r="L163" s="1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61"/>
    </row>
    <row r="164" spans="1:35" ht="30">
      <c r="A164" s="1"/>
      <c r="B164" s="107" t="s">
        <v>97</v>
      </c>
      <c r="C164" s="1" t="s">
        <v>97</v>
      </c>
      <c r="D164" s="65" t="s">
        <v>638</v>
      </c>
      <c r="E164" s="65" t="s">
        <v>344</v>
      </c>
      <c r="F164" s="1" t="s">
        <v>12</v>
      </c>
      <c r="G164" s="55" t="s">
        <v>11</v>
      </c>
      <c r="H164" s="55" t="s">
        <v>101</v>
      </c>
      <c r="I164" s="12" t="s">
        <v>112</v>
      </c>
      <c r="J164" s="12" t="s">
        <v>114</v>
      </c>
      <c r="K164" s="12"/>
      <c r="L164" s="11" t="s">
        <v>639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 t="s">
        <v>105</v>
      </c>
      <c r="AG164" s="1"/>
      <c r="AH164" s="1"/>
      <c r="AI164" s="61"/>
    </row>
    <row r="165" spans="1:35" ht="30">
      <c r="A165" s="1"/>
      <c r="B165" s="107" t="s">
        <v>307</v>
      </c>
      <c r="C165" s="1" t="s">
        <v>307</v>
      </c>
      <c r="D165" s="293" t="s">
        <v>640</v>
      </c>
      <c r="E165" s="12" t="s">
        <v>309</v>
      </c>
      <c r="F165" s="1" t="s">
        <v>310</v>
      </c>
      <c r="G165" s="55" t="s">
        <v>311</v>
      </c>
      <c r="H165" s="55" t="s">
        <v>312</v>
      </c>
      <c r="I165" s="12" t="s">
        <v>313</v>
      </c>
      <c r="J165" s="12" t="s">
        <v>314</v>
      </c>
      <c r="K165" s="12" t="s">
        <v>315</v>
      </c>
      <c r="L165" s="1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61"/>
    </row>
    <row r="166" spans="1:35" ht="30">
      <c r="A166" s="1"/>
      <c r="B166" s="107" t="s">
        <v>307</v>
      </c>
      <c r="C166" s="1" t="s">
        <v>307</v>
      </c>
      <c r="D166" s="293" t="s">
        <v>645</v>
      </c>
      <c r="E166" s="12" t="s">
        <v>331</v>
      </c>
      <c r="F166" s="1" t="s">
        <v>310</v>
      </c>
      <c r="G166" s="55" t="s">
        <v>311</v>
      </c>
      <c r="H166" s="55" t="s">
        <v>312</v>
      </c>
      <c r="I166" s="12" t="s">
        <v>313</v>
      </c>
      <c r="J166" s="12"/>
      <c r="K166" s="12" t="s">
        <v>332</v>
      </c>
      <c r="L166" s="1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61"/>
    </row>
    <row r="167" spans="1:35" ht="30">
      <c r="A167" s="1"/>
      <c r="B167" s="107"/>
      <c r="C167" s="1"/>
      <c r="D167" s="12" t="s">
        <v>646</v>
      </c>
      <c r="E167" s="12" t="s">
        <v>344</v>
      </c>
      <c r="F167" s="1" t="s">
        <v>12</v>
      </c>
      <c r="G167" s="55" t="s">
        <v>11</v>
      </c>
      <c r="H167" s="55" t="s">
        <v>101</v>
      </c>
      <c r="I167" s="12" t="s">
        <v>318</v>
      </c>
      <c r="J167" s="12" t="s">
        <v>107</v>
      </c>
      <c r="K167" s="12" t="s">
        <v>647</v>
      </c>
      <c r="L167" s="11" t="s">
        <v>632</v>
      </c>
      <c r="M167" s="1"/>
      <c r="N167" s="1"/>
      <c r="O167" s="1"/>
      <c r="P167" s="1" t="s">
        <v>105</v>
      </c>
      <c r="Q167" s="1"/>
      <c r="R167" s="1"/>
      <c r="S167" s="1"/>
      <c r="T167" s="1" t="s">
        <v>105</v>
      </c>
      <c r="U167" s="1" t="s">
        <v>105</v>
      </c>
      <c r="V167" s="1"/>
      <c r="W167" s="1"/>
      <c r="X167" s="1"/>
      <c r="Y167" s="1"/>
      <c r="Z167" s="1" t="s">
        <v>105</v>
      </c>
      <c r="AA167" s="1"/>
      <c r="AB167" s="1" t="s">
        <v>105</v>
      </c>
      <c r="AC167" s="1"/>
      <c r="AD167" s="1"/>
      <c r="AE167" s="1" t="s">
        <v>105</v>
      </c>
      <c r="AF167" s="1" t="s">
        <v>105</v>
      </c>
      <c r="AG167" s="1"/>
      <c r="AH167" s="1"/>
      <c r="AI167" s="61"/>
    </row>
    <row r="168" spans="1:35" ht="30">
      <c r="A168" s="1"/>
      <c r="B168" s="107" t="s">
        <v>307</v>
      </c>
      <c r="C168" s="1" t="s">
        <v>307</v>
      </c>
      <c r="D168" s="295" t="s">
        <v>648</v>
      </c>
      <c r="E168" s="12" t="s">
        <v>359</v>
      </c>
      <c r="F168" s="1" t="s">
        <v>12</v>
      </c>
      <c r="G168" s="55" t="s">
        <v>11</v>
      </c>
      <c r="H168" s="55" t="s">
        <v>101</v>
      </c>
      <c r="I168" s="12" t="s">
        <v>313</v>
      </c>
      <c r="J168" s="12" t="s">
        <v>342</v>
      </c>
      <c r="K168" s="12" t="s">
        <v>337</v>
      </c>
      <c r="L168" s="1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61"/>
    </row>
    <row r="169" spans="1:35">
      <c r="A169" s="1"/>
      <c r="B169" s="107" t="s">
        <v>97</v>
      </c>
      <c r="C169" s="1" t="s">
        <v>97</v>
      </c>
      <c r="D169" s="55" t="s">
        <v>649</v>
      </c>
      <c r="E169" s="12" t="s">
        <v>422</v>
      </c>
      <c r="F169" s="1"/>
      <c r="G169" s="55"/>
      <c r="H169" s="55" t="s">
        <v>101</v>
      </c>
      <c r="I169" s="12" t="s">
        <v>112</v>
      </c>
      <c r="J169" s="12" t="s">
        <v>107</v>
      </c>
      <c r="K169" s="12"/>
      <c r="L169" s="11" t="s">
        <v>362</v>
      </c>
      <c r="M169" s="1"/>
      <c r="N169" s="1"/>
      <c r="O169" s="1"/>
      <c r="P169" s="1"/>
      <c r="Q169" s="1"/>
      <c r="R169" s="1"/>
      <c r="S169" s="1" t="s">
        <v>105</v>
      </c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61"/>
    </row>
    <row r="170" spans="1:35">
      <c r="A170" s="1"/>
      <c r="B170" s="107" t="s">
        <v>97</v>
      </c>
      <c r="C170" s="1" t="s">
        <v>97</v>
      </c>
      <c r="D170" s="55" t="s">
        <v>650</v>
      </c>
      <c r="E170" s="12" t="s">
        <v>422</v>
      </c>
      <c r="F170" s="1"/>
      <c r="G170" s="55"/>
      <c r="H170" s="55" t="s">
        <v>101</v>
      </c>
      <c r="I170" s="12" t="s">
        <v>112</v>
      </c>
      <c r="J170" s="12" t="s">
        <v>107</v>
      </c>
      <c r="K170" s="12"/>
      <c r="L170" s="11" t="s">
        <v>362</v>
      </c>
      <c r="M170" s="1"/>
      <c r="N170" s="1"/>
      <c r="O170" s="1"/>
      <c r="P170" s="1"/>
      <c r="Q170" s="1"/>
      <c r="R170" s="1"/>
      <c r="S170" s="1" t="s">
        <v>105</v>
      </c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61"/>
    </row>
    <row r="171" spans="1:35">
      <c r="A171" s="1"/>
      <c r="B171" s="107" t="s">
        <v>97</v>
      </c>
      <c r="C171" s="1" t="s">
        <v>97</v>
      </c>
      <c r="D171" s="12" t="s">
        <v>652</v>
      </c>
      <c r="E171" s="12" t="s">
        <v>344</v>
      </c>
      <c r="F171" s="1"/>
      <c r="G171" s="55"/>
      <c r="H171" s="55" t="s">
        <v>101</v>
      </c>
      <c r="I171" s="12" t="s">
        <v>112</v>
      </c>
      <c r="J171" s="12" t="s">
        <v>383</v>
      </c>
      <c r="K171" s="12"/>
      <c r="L171" s="11" t="s">
        <v>653</v>
      </c>
      <c r="M171" s="1"/>
      <c r="N171" s="1"/>
      <c r="O171" s="1"/>
      <c r="P171" s="1"/>
      <c r="Q171" s="1"/>
      <c r="R171" s="1"/>
      <c r="S171" s="1" t="s">
        <v>105</v>
      </c>
      <c r="T171" s="1"/>
      <c r="U171" s="1"/>
      <c r="V171" s="1"/>
      <c r="W171" s="1"/>
      <c r="X171" s="1"/>
      <c r="Y171" s="1" t="s">
        <v>105</v>
      </c>
      <c r="Z171" s="1"/>
      <c r="AA171" s="1"/>
      <c r="AB171" s="1"/>
      <c r="AC171" s="1"/>
      <c r="AD171" s="1"/>
      <c r="AE171" s="1" t="s">
        <v>105</v>
      </c>
      <c r="AF171" s="1"/>
      <c r="AG171" s="1"/>
      <c r="AH171" s="1"/>
      <c r="AI171" s="61"/>
    </row>
    <row r="172" spans="1:35">
      <c r="A172" s="1"/>
      <c r="B172" s="107" t="s">
        <v>97</v>
      </c>
      <c r="C172" s="1" t="s">
        <v>97</v>
      </c>
      <c r="D172" s="12" t="s">
        <v>654</v>
      </c>
      <c r="E172" s="12" t="s">
        <v>344</v>
      </c>
      <c r="F172" s="1"/>
      <c r="G172" s="55"/>
      <c r="H172" s="55" t="s">
        <v>101</v>
      </c>
      <c r="I172" s="12" t="s">
        <v>112</v>
      </c>
      <c r="J172" s="12" t="s">
        <v>383</v>
      </c>
      <c r="K172" s="12"/>
      <c r="L172" s="11" t="s">
        <v>655</v>
      </c>
      <c r="M172" s="1"/>
      <c r="N172" s="1"/>
      <c r="O172" s="1"/>
      <c r="P172" s="1"/>
      <c r="Q172" s="1"/>
      <c r="R172" s="1"/>
      <c r="S172" s="1" t="s">
        <v>105</v>
      </c>
      <c r="T172" s="1"/>
      <c r="U172" s="1"/>
      <c r="V172" s="1"/>
      <c r="W172" s="1"/>
      <c r="X172" s="1"/>
      <c r="Y172" s="1" t="s">
        <v>105</v>
      </c>
      <c r="Z172" s="1" t="s">
        <v>105</v>
      </c>
      <c r="AA172" s="1"/>
      <c r="AB172" s="1"/>
      <c r="AC172" s="1"/>
      <c r="AD172" s="1"/>
      <c r="AE172" s="1" t="s">
        <v>105</v>
      </c>
      <c r="AF172" s="1" t="s">
        <v>105</v>
      </c>
      <c r="AG172" s="1"/>
      <c r="AH172" s="1"/>
      <c r="AI172" s="61"/>
    </row>
    <row r="179" spans="5:5">
      <c r="E179" s="9" t="s">
        <v>656</v>
      </c>
    </row>
    <row r="181" spans="5:5" ht="30">
      <c r="E181" s="296" t="s">
        <v>657</v>
      </c>
    </row>
    <row r="183" spans="5:5" ht="30">
      <c r="E183" s="297" t="s">
        <v>658</v>
      </c>
    </row>
    <row r="185" spans="5:5" ht="30">
      <c r="E185" s="106" t="s">
        <v>659</v>
      </c>
    </row>
    <row r="186" spans="5:5">
      <c r="E186" s="106"/>
    </row>
    <row r="187" spans="5:5">
      <c r="E187" s="106"/>
    </row>
    <row r="188" spans="5:5">
      <c r="E188" s="106"/>
    </row>
    <row r="189" spans="5:5">
      <c r="E189" s="106"/>
    </row>
    <row r="190" spans="5:5">
      <c r="E190" s="106"/>
    </row>
    <row r="191" spans="5:5">
      <c r="E191" s="106"/>
    </row>
    <row r="193" spans="1:35" ht="30">
      <c r="A193" s="1"/>
      <c r="B193" s="221" t="s">
        <v>96</v>
      </c>
      <c r="C193" s="222" t="s">
        <v>97</v>
      </c>
      <c r="D193" s="223" t="s">
        <v>660</v>
      </c>
      <c r="E193" s="224"/>
      <c r="F193" s="222" t="s">
        <v>12</v>
      </c>
      <c r="G193" s="225" t="s">
        <v>458</v>
      </c>
      <c r="H193" s="225"/>
      <c r="I193" s="224"/>
      <c r="J193" s="224"/>
      <c r="K193" s="86" t="s">
        <v>661</v>
      </c>
      <c r="L193" s="226"/>
      <c r="M193" s="222"/>
      <c r="N193" s="222"/>
      <c r="O193" s="222"/>
      <c r="P193" s="222"/>
      <c r="Q193" s="222"/>
      <c r="R193" s="222"/>
      <c r="S193" s="222"/>
      <c r="T193" s="222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7"/>
    </row>
    <row r="194" spans="1:35" ht="30">
      <c r="A194" s="1"/>
      <c r="B194" s="221" t="s">
        <v>96</v>
      </c>
      <c r="C194" s="222" t="s">
        <v>97</v>
      </c>
      <c r="D194" s="223" t="s">
        <v>317</v>
      </c>
      <c r="E194" s="224"/>
      <c r="F194" s="222" t="s">
        <v>12</v>
      </c>
      <c r="G194" s="225" t="s">
        <v>458</v>
      </c>
      <c r="H194" s="225"/>
      <c r="I194" s="224"/>
      <c r="J194" s="224"/>
      <c r="K194" s="224"/>
      <c r="L194" s="226"/>
      <c r="M194" s="222"/>
      <c r="N194" s="222"/>
      <c r="O194" s="222"/>
      <c r="P194" s="222"/>
      <c r="Q194" s="222"/>
      <c r="R194" s="222"/>
      <c r="S194" s="222"/>
      <c r="T194" s="222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7"/>
    </row>
  </sheetData>
  <phoneticPr fontId="2" type="noConversion"/>
  <conditionalFormatting sqref="A194:B194 A175:A192 A195:A1048576 A80:B150 A79 A152:B154 A151 A155:A172">
    <cfRule type="duplicateValues" dxfId="25" priority="10"/>
  </conditionalFormatting>
  <conditionalFormatting sqref="D1">
    <cfRule type="duplicateValues" dxfId="24" priority="1"/>
  </conditionalFormatting>
  <dataValidations count="1">
    <dataValidation type="list" allowBlank="1" showInputMessage="1" showErrorMessage="1" sqref="I70:I75 I3:I55" xr:uid="{3AD8F117-14D6-4406-904C-13F7239FE7A2}">
      <formula1>"Connected product, Edge control, Analytics,"</formula1>
    </dataValidation>
  </dataValidations>
  <hyperlinks>
    <hyperlink ref="K53" r:id="rId1" location="products" display="https://www.se.com/in/en/product-range/63369-em6400ng+/?parent-subcategory-id=82264&amp;filter=business-4-low-voltage-products-and-systems#products" xr:uid="{22586772-26DB-405D-942C-53C7F2A2091B}"/>
  </hyperlinks>
  <pageMargins left="0.7" right="0.7" top="0.75" bottom="0.75" header="0.3" footer="0.3"/>
  <pageSetup paperSize="9" orientation="portrait" r:id="rId2"/>
  <headerFooter>
    <oddFooter>&amp;C_x000D_&amp;1#&amp;"Calibri"&amp;6&amp;K626469 General</oddFooter>
  </headerFooter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0FF8-083F-4AC9-9B7C-CD2F5CE984E6}">
  <dimension ref="A1:AI39"/>
  <sheetViews>
    <sheetView zoomScale="130" zoomScaleNormal="130" workbookViewId="0">
      <pane ySplit="2" topLeftCell="A3" activePane="bottomLeft" state="frozen"/>
      <selection pane="bottomLeft" activeCell="D12" sqref="D12"/>
    </sheetView>
  </sheetViews>
  <sheetFormatPr baseColWidth="10" defaultColWidth="8.5703125" defaultRowHeight="15"/>
  <cols>
    <col min="1" max="1" width="14.85546875" style="9" bestFit="1" customWidth="1"/>
    <col min="2" max="2" width="9.140625" style="9" customWidth="1"/>
    <col min="3" max="3" width="15.42578125" style="78" customWidth="1"/>
    <col min="4" max="4" width="37.7109375" style="9" customWidth="1"/>
    <col min="5" max="5" width="50.5703125" style="9" bestFit="1" customWidth="1"/>
    <col min="6" max="6" width="17.42578125" style="9" bestFit="1" customWidth="1"/>
    <col min="7" max="7" width="18.85546875" style="9" bestFit="1" customWidth="1"/>
    <col min="8" max="8" width="9.42578125" style="9" bestFit="1" customWidth="1"/>
    <col min="9" max="9" width="21.42578125" style="9" bestFit="1" customWidth="1"/>
    <col min="10" max="10" width="23" style="78" bestFit="1" customWidth="1"/>
    <col min="11" max="11" width="56" style="78" customWidth="1"/>
    <col min="12" max="12" width="65.42578125" style="78" customWidth="1"/>
    <col min="13" max="13" width="10.42578125" style="78" bestFit="1" customWidth="1"/>
    <col min="14" max="14" width="6.5703125" style="78" bestFit="1" customWidth="1"/>
    <col min="15" max="15" width="8.5703125" style="78" bestFit="1" customWidth="1"/>
    <col min="16" max="16" width="13.42578125" style="78" customWidth="1"/>
    <col min="17" max="17" width="9.42578125" style="78" bestFit="1" customWidth="1"/>
    <col min="18" max="18" width="8.42578125" style="78" customWidth="1"/>
    <col min="19" max="19" width="8.5703125" style="78" bestFit="1" customWidth="1"/>
    <col min="20" max="20" width="9.42578125" style="78" bestFit="1" customWidth="1"/>
    <col min="21" max="21" width="9" style="78" bestFit="1" customWidth="1"/>
    <col min="22" max="22" width="8" style="78" bestFit="1" customWidth="1"/>
    <col min="23" max="23" width="6.85546875" style="78" bestFit="1" customWidth="1"/>
    <col min="24" max="24" width="8.5703125" style="78" bestFit="1" customWidth="1"/>
    <col min="25" max="25" width="8.42578125" style="78" bestFit="1" customWidth="1"/>
    <col min="26" max="26" width="6.85546875" style="78" bestFit="1" customWidth="1"/>
    <col min="27" max="27" width="11" style="78" bestFit="1" customWidth="1"/>
    <col min="28" max="28" width="15.5703125" style="78" bestFit="1" customWidth="1"/>
    <col min="29" max="29" width="7.85546875" style="78" bestFit="1" customWidth="1"/>
    <col min="30" max="30" width="20.140625" style="78" customWidth="1"/>
    <col min="31" max="31" width="12.5703125" style="78" bestFit="1" customWidth="1"/>
    <col min="32" max="32" width="20.42578125" style="9" customWidth="1"/>
    <col min="33" max="33" width="16.42578125" style="9" customWidth="1"/>
    <col min="34" max="34" width="15.5703125" style="9" customWidth="1"/>
    <col min="35" max="35" width="13.42578125" style="9" customWidth="1"/>
    <col min="36" max="16384" width="8.5703125" style="9"/>
  </cols>
  <sheetData>
    <row r="1" spans="1:35">
      <c r="B1" s="78">
        <f>COUNTIF(Table327[Seen on BS],"Yes")</f>
        <v>0</v>
      </c>
      <c r="C1" s="78">
        <f>COUNTIF(Table327[Fingerprints available],"Yes")</f>
        <v>0</v>
      </c>
      <c r="D1" s="300">
        <f>COUNTA(Table327[Product range])</f>
        <v>15</v>
      </c>
      <c r="E1" s="78">
        <f>SUBTOTAL(3,D3:D17)</f>
        <v>15</v>
      </c>
    </row>
    <row r="2" spans="1:35" s="300" customFormat="1" ht="30">
      <c r="A2" s="17" t="s">
        <v>63</v>
      </c>
      <c r="B2" s="103" t="s">
        <v>33</v>
      </c>
      <c r="C2" s="104" t="s">
        <v>64</v>
      </c>
      <c r="D2" s="17" t="s">
        <v>304</v>
      </c>
      <c r="E2" s="17" t="s">
        <v>66</v>
      </c>
      <c r="F2" s="17" t="s">
        <v>29</v>
      </c>
      <c r="G2" s="18" t="s">
        <v>28</v>
      </c>
      <c r="H2" s="18" t="s">
        <v>67</v>
      </c>
      <c r="I2" s="17" t="s">
        <v>68</v>
      </c>
      <c r="J2" s="17" t="s">
        <v>305</v>
      </c>
      <c r="K2" s="17" t="s">
        <v>70</v>
      </c>
      <c r="L2" s="19" t="s">
        <v>71</v>
      </c>
      <c r="M2" s="18" t="s">
        <v>72</v>
      </c>
      <c r="N2" s="18" t="s">
        <v>73</v>
      </c>
      <c r="O2" s="18" t="s">
        <v>74</v>
      </c>
      <c r="P2" s="18" t="s">
        <v>75</v>
      </c>
      <c r="Q2" s="18" t="s">
        <v>76</v>
      </c>
      <c r="R2" s="18" t="s">
        <v>77</v>
      </c>
      <c r="S2" s="18" t="s">
        <v>78</v>
      </c>
      <c r="T2" s="18" t="s">
        <v>79</v>
      </c>
      <c r="U2" s="18" t="s">
        <v>80</v>
      </c>
      <c r="V2" s="18" t="s">
        <v>81</v>
      </c>
      <c r="W2" s="18" t="s">
        <v>82</v>
      </c>
      <c r="X2" s="18" t="s">
        <v>83</v>
      </c>
      <c r="Y2" s="18" t="s">
        <v>84</v>
      </c>
      <c r="Z2" s="18" t="s">
        <v>85</v>
      </c>
      <c r="AA2" s="18" t="s">
        <v>86</v>
      </c>
      <c r="AB2" s="18" t="s">
        <v>87</v>
      </c>
      <c r="AC2" s="18" t="s">
        <v>88</v>
      </c>
      <c r="AD2" s="18" t="s">
        <v>89</v>
      </c>
      <c r="AE2" s="17" t="s">
        <v>90</v>
      </c>
      <c r="AF2" s="18" t="s">
        <v>91</v>
      </c>
      <c r="AG2" s="18" t="s">
        <v>92</v>
      </c>
      <c r="AH2" s="18" t="s">
        <v>306</v>
      </c>
      <c r="AI2" s="20" t="s">
        <v>94</v>
      </c>
    </row>
    <row r="3" spans="1:35" s="93" customFormat="1" ht="30">
      <c r="A3" s="1"/>
      <c r="B3" s="107" t="s">
        <v>307</v>
      </c>
      <c r="C3" s="1" t="s">
        <v>307</v>
      </c>
      <c r="D3" s="293" t="s">
        <v>326</v>
      </c>
      <c r="E3" s="12" t="s">
        <v>327</v>
      </c>
      <c r="F3" s="1" t="s">
        <v>328</v>
      </c>
      <c r="G3" s="55" t="s">
        <v>311</v>
      </c>
      <c r="H3" s="55" t="s">
        <v>322</v>
      </c>
      <c r="I3" s="12" t="s">
        <v>323</v>
      </c>
      <c r="J3" s="12" t="s">
        <v>314</v>
      </c>
      <c r="K3" s="12" t="s">
        <v>329</v>
      </c>
      <c r="L3" s="1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61"/>
    </row>
    <row r="4" spans="1:35" s="93" customFormat="1" ht="30">
      <c r="A4" s="1"/>
      <c r="B4" s="107" t="s">
        <v>307</v>
      </c>
      <c r="C4" s="1" t="s">
        <v>307</v>
      </c>
      <c r="D4" s="293" t="s">
        <v>413</v>
      </c>
      <c r="E4" s="12" t="s">
        <v>414</v>
      </c>
      <c r="F4" s="1" t="s">
        <v>328</v>
      </c>
      <c r="G4" s="55" t="s">
        <v>311</v>
      </c>
      <c r="H4" s="55" t="s">
        <v>322</v>
      </c>
      <c r="I4" s="12" t="s">
        <v>415</v>
      </c>
      <c r="J4" s="12" t="s">
        <v>314</v>
      </c>
      <c r="K4" s="12" t="s">
        <v>329</v>
      </c>
      <c r="L4" s="1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61"/>
    </row>
    <row r="5" spans="1:35" s="93" customFormat="1" ht="30">
      <c r="A5" s="1"/>
      <c r="B5" s="107" t="s">
        <v>307</v>
      </c>
      <c r="C5" s="1" t="s">
        <v>307</v>
      </c>
      <c r="D5" s="293" t="s">
        <v>416</v>
      </c>
      <c r="E5" s="12" t="s">
        <v>414</v>
      </c>
      <c r="F5" s="1" t="s">
        <v>328</v>
      </c>
      <c r="G5" s="55" t="s">
        <v>311</v>
      </c>
      <c r="H5" s="55" t="s">
        <v>322</v>
      </c>
      <c r="I5" s="12" t="s">
        <v>415</v>
      </c>
      <c r="J5" s="12" t="s">
        <v>314</v>
      </c>
      <c r="K5" s="12" t="s">
        <v>329</v>
      </c>
      <c r="L5" s="1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61"/>
    </row>
    <row r="6" spans="1:35" s="93" customFormat="1" ht="30">
      <c r="A6" s="1"/>
      <c r="B6" s="107" t="s">
        <v>307</v>
      </c>
      <c r="C6" s="1" t="s">
        <v>307</v>
      </c>
      <c r="D6" s="293" t="s">
        <v>417</v>
      </c>
      <c r="E6" s="12" t="s">
        <v>414</v>
      </c>
      <c r="F6" s="1" t="s">
        <v>328</v>
      </c>
      <c r="G6" s="55" t="s">
        <v>311</v>
      </c>
      <c r="H6" s="55" t="s">
        <v>322</v>
      </c>
      <c r="I6" s="12" t="s">
        <v>323</v>
      </c>
      <c r="J6" s="12" t="s">
        <v>314</v>
      </c>
      <c r="K6" s="12" t="s">
        <v>329</v>
      </c>
      <c r="L6" s="1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61"/>
    </row>
    <row r="7" spans="1:35" s="93" customFormat="1" ht="30">
      <c r="A7" s="1"/>
      <c r="B7" s="107" t="s">
        <v>307</v>
      </c>
      <c r="C7" s="1" t="s">
        <v>307</v>
      </c>
      <c r="D7" s="293" t="s">
        <v>418</v>
      </c>
      <c r="E7" s="12" t="s">
        <v>414</v>
      </c>
      <c r="F7" s="1" t="s">
        <v>328</v>
      </c>
      <c r="G7" s="55" t="s">
        <v>311</v>
      </c>
      <c r="H7" s="55" t="s">
        <v>322</v>
      </c>
      <c r="I7" s="12" t="s">
        <v>323</v>
      </c>
      <c r="J7" s="12" t="s">
        <v>314</v>
      </c>
      <c r="K7" s="12" t="s">
        <v>329</v>
      </c>
      <c r="L7" s="1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61"/>
    </row>
    <row r="8" spans="1:35" s="93" customFormat="1" ht="30">
      <c r="A8" s="1"/>
      <c r="B8" s="107" t="s">
        <v>307</v>
      </c>
      <c r="C8" s="1" t="s">
        <v>307</v>
      </c>
      <c r="D8" s="293" t="s">
        <v>419</v>
      </c>
      <c r="E8" s="12" t="s">
        <v>414</v>
      </c>
      <c r="F8" s="1" t="s">
        <v>328</v>
      </c>
      <c r="G8" s="55" t="s">
        <v>311</v>
      </c>
      <c r="H8" s="55" t="s">
        <v>322</v>
      </c>
      <c r="I8" s="12" t="s">
        <v>323</v>
      </c>
      <c r="J8" s="12" t="s">
        <v>314</v>
      </c>
      <c r="K8" s="12" t="s">
        <v>329</v>
      </c>
      <c r="L8" s="1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61"/>
    </row>
    <row r="9" spans="1:35" s="93" customFormat="1" ht="30">
      <c r="A9" s="1"/>
      <c r="B9" s="107" t="s">
        <v>307</v>
      </c>
      <c r="C9" s="1" t="s">
        <v>307</v>
      </c>
      <c r="D9" s="293" t="s">
        <v>420</v>
      </c>
      <c r="E9" s="12" t="s">
        <v>414</v>
      </c>
      <c r="F9" s="1" t="s">
        <v>328</v>
      </c>
      <c r="G9" s="55" t="s">
        <v>311</v>
      </c>
      <c r="H9" s="55" t="s">
        <v>322</v>
      </c>
      <c r="I9" s="12" t="s">
        <v>323</v>
      </c>
      <c r="J9" s="12" t="s">
        <v>314</v>
      </c>
      <c r="K9" s="12" t="s">
        <v>329</v>
      </c>
      <c r="L9" s="1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61"/>
    </row>
    <row r="10" spans="1:35" s="93" customFormat="1" ht="30">
      <c r="A10" s="1"/>
      <c r="B10" s="107" t="s">
        <v>307</v>
      </c>
      <c r="C10" s="1" t="s">
        <v>307</v>
      </c>
      <c r="D10" s="293" t="s">
        <v>460</v>
      </c>
      <c r="E10" s="12" t="s">
        <v>414</v>
      </c>
      <c r="F10" s="1" t="s">
        <v>328</v>
      </c>
      <c r="G10" s="55" t="s">
        <v>311</v>
      </c>
      <c r="H10" s="55" t="s">
        <v>322</v>
      </c>
      <c r="I10" s="12" t="s">
        <v>323</v>
      </c>
      <c r="J10" s="12" t="s">
        <v>314</v>
      </c>
      <c r="K10" s="12" t="s">
        <v>329</v>
      </c>
      <c r="L10" s="1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61"/>
    </row>
    <row r="11" spans="1:35" ht="30">
      <c r="A11" s="1"/>
      <c r="B11" s="107" t="s">
        <v>307</v>
      </c>
      <c r="C11" s="1" t="s">
        <v>307</v>
      </c>
      <c r="D11" s="293" t="s">
        <v>485</v>
      </c>
      <c r="E11" s="12" t="s">
        <v>483</v>
      </c>
      <c r="F11" s="1" t="s">
        <v>328</v>
      </c>
      <c r="G11" s="55" t="s">
        <v>311</v>
      </c>
      <c r="H11" s="55" t="s">
        <v>322</v>
      </c>
      <c r="I11" s="12" t="s">
        <v>323</v>
      </c>
      <c r="J11" s="12" t="s">
        <v>314</v>
      </c>
      <c r="K11" s="12" t="s">
        <v>329</v>
      </c>
      <c r="L11" s="1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61"/>
    </row>
    <row r="12" spans="1:35" ht="30">
      <c r="A12" s="1"/>
      <c r="B12" s="107" t="s">
        <v>307</v>
      </c>
      <c r="C12" s="1" t="s">
        <v>307</v>
      </c>
      <c r="D12" s="293" t="s">
        <v>486</v>
      </c>
      <c r="E12" s="12" t="s">
        <v>483</v>
      </c>
      <c r="F12" s="1" t="s">
        <v>328</v>
      </c>
      <c r="G12" s="55" t="s">
        <v>311</v>
      </c>
      <c r="H12" s="55" t="s">
        <v>322</v>
      </c>
      <c r="I12" s="12" t="s">
        <v>323</v>
      </c>
      <c r="J12" s="12" t="s">
        <v>314</v>
      </c>
      <c r="K12" s="12" t="s">
        <v>329</v>
      </c>
      <c r="L12" s="1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61"/>
    </row>
    <row r="13" spans="1:35" ht="30">
      <c r="A13" s="1"/>
      <c r="B13" s="107" t="s">
        <v>307</v>
      </c>
      <c r="C13" s="1" t="s">
        <v>307</v>
      </c>
      <c r="D13" s="293" t="s">
        <v>489</v>
      </c>
      <c r="E13" s="12" t="s">
        <v>327</v>
      </c>
      <c r="F13" s="1" t="s">
        <v>328</v>
      </c>
      <c r="G13" s="55" t="s">
        <v>311</v>
      </c>
      <c r="H13" s="55" t="s">
        <v>322</v>
      </c>
      <c r="I13" s="12" t="s">
        <v>323</v>
      </c>
      <c r="J13" s="12" t="s">
        <v>314</v>
      </c>
      <c r="K13" s="12" t="s">
        <v>329</v>
      </c>
      <c r="L13" s="1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61"/>
    </row>
    <row r="14" spans="1:35" ht="30">
      <c r="A14" s="1"/>
      <c r="B14" s="292" t="s">
        <v>307</v>
      </c>
      <c r="C14" s="28" t="s">
        <v>307</v>
      </c>
      <c r="D14" s="294" t="s">
        <v>499</v>
      </c>
      <c r="E14" s="27" t="s">
        <v>414</v>
      </c>
      <c r="F14" s="28" t="s">
        <v>328</v>
      </c>
      <c r="G14" s="76" t="s">
        <v>311</v>
      </c>
      <c r="H14" s="76" t="s">
        <v>322</v>
      </c>
      <c r="I14" s="27" t="s">
        <v>323</v>
      </c>
      <c r="J14" s="27" t="s">
        <v>314</v>
      </c>
      <c r="K14" s="27" t="s">
        <v>329</v>
      </c>
      <c r="L14" s="35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60"/>
    </row>
    <row r="15" spans="1:35" ht="30">
      <c r="A15" s="1"/>
      <c r="B15" s="292" t="s">
        <v>307</v>
      </c>
      <c r="C15" s="28" t="s">
        <v>307</v>
      </c>
      <c r="D15" s="294" t="s">
        <v>500</v>
      </c>
      <c r="E15" s="27" t="s">
        <v>414</v>
      </c>
      <c r="F15" s="28" t="s">
        <v>328</v>
      </c>
      <c r="G15" s="76" t="s">
        <v>311</v>
      </c>
      <c r="H15" s="76" t="s">
        <v>322</v>
      </c>
      <c r="I15" s="27" t="s">
        <v>323</v>
      </c>
      <c r="J15" s="27" t="s">
        <v>314</v>
      </c>
      <c r="K15" s="27" t="s">
        <v>329</v>
      </c>
      <c r="L15" s="35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60"/>
    </row>
    <row r="16" spans="1:35" ht="30">
      <c r="A16" s="1"/>
      <c r="B16" s="107" t="s">
        <v>307</v>
      </c>
      <c r="C16" s="1" t="s">
        <v>307</v>
      </c>
      <c r="D16" s="293" t="s">
        <v>503</v>
      </c>
      <c r="E16" s="12" t="s">
        <v>414</v>
      </c>
      <c r="F16" s="1" t="s">
        <v>328</v>
      </c>
      <c r="G16" s="55" t="s">
        <v>311</v>
      </c>
      <c r="H16" s="55" t="s">
        <v>322</v>
      </c>
      <c r="I16" s="12" t="s">
        <v>323</v>
      </c>
      <c r="J16" s="12" t="s">
        <v>314</v>
      </c>
      <c r="K16" s="12" t="s">
        <v>329</v>
      </c>
      <c r="L16" s="1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61"/>
    </row>
    <row r="17" spans="1:35" ht="30">
      <c r="A17" s="1"/>
      <c r="B17" s="107" t="s">
        <v>307</v>
      </c>
      <c r="C17" s="1" t="s">
        <v>307</v>
      </c>
      <c r="D17" s="293" t="s">
        <v>651</v>
      </c>
      <c r="E17" s="12" t="s">
        <v>483</v>
      </c>
      <c r="F17" s="1" t="s">
        <v>328</v>
      </c>
      <c r="G17" s="55" t="s">
        <v>311</v>
      </c>
      <c r="H17" s="55" t="s">
        <v>322</v>
      </c>
      <c r="I17" s="12" t="s">
        <v>323</v>
      </c>
      <c r="J17" s="12" t="s">
        <v>342</v>
      </c>
      <c r="K17" s="12" t="s">
        <v>329</v>
      </c>
      <c r="L17" s="1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61"/>
    </row>
    <row r="24" spans="1:35">
      <c r="E24" s="9" t="s">
        <v>656</v>
      </c>
    </row>
    <row r="26" spans="1:35" ht="30">
      <c r="E26" s="296" t="s">
        <v>657</v>
      </c>
    </row>
    <row r="28" spans="1:35" ht="30">
      <c r="E28" s="297" t="s">
        <v>658</v>
      </c>
    </row>
    <row r="30" spans="1:35" ht="30">
      <c r="E30" s="106" t="s">
        <v>659</v>
      </c>
    </row>
    <row r="31" spans="1:35">
      <c r="E31" s="106"/>
    </row>
    <row r="32" spans="1:35">
      <c r="E32" s="106"/>
    </row>
    <row r="33" spans="1:35">
      <c r="E33" s="106"/>
    </row>
    <row r="34" spans="1:35">
      <c r="E34" s="106"/>
    </row>
    <row r="35" spans="1:35">
      <c r="E35" s="106"/>
    </row>
    <row r="36" spans="1:35">
      <c r="E36" s="106"/>
    </row>
    <row r="38" spans="1:35" ht="30">
      <c r="A38" s="1"/>
      <c r="B38" s="221" t="s">
        <v>96</v>
      </c>
      <c r="C38" s="222" t="s">
        <v>97</v>
      </c>
      <c r="D38" s="223" t="s">
        <v>660</v>
      </c>
      <c r="E38" s="224"/>
      <c r="F38" s="222" t="s">
        <v>12</v>
      </c>
      <c r="G38" s="225" t="s">
        <v>458</v>
      </c>
      <c r="H38" s="225"/>
      <c r="I38" s="224"/>
      <c r="J38" s="224"/>
      <c r="K38" s="86" t="s">
        <v>661</v>
      </c>
      <c r="L38" s="226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  <c r="AD38" s="222"/>
      <c r="AE38" s="222"/>
      <c r="AF38" s="222"/>
      <c r="AG38" s="222"/>
      <c r="AH38" s="222"/>
      <c r="AI38" s="227"/>
    </row>
    <row r="39" spans="1:35" ht="30">
      <c r="A39" s="1"/>
      <c r="B39" s="221" t="s">
        <v>96</v>
      </c>
      <c r="C39" s="222" t="s">
        <v>97</v>
      </c>
      <c r="D39" s="223" t="s">
        <v>317</v>
      </c>
      <c r="E39" s="224"/>
      <c r="F39" s="222" t="s">
        <v>12</v>
      </c>
      <c r="G39" s="225" t="s">
        <v>458</v>
      </c>
      <c r="H39" s="225"/>
      <c r="I39" s="224"/>
      <c r="J39" s="224"/>
      <c r="K39" s="224"/>
      <c r="L39" s="226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  <c r="AA39" s="222"/>
      <c r="AB39" s="222"/>
      <c r="AC39" s="222"/>
      <c r="AD39" s="222"/>
      <c r="AE39" s="222"/>
      <c r="AF39" s="222"/>
      <c r="AG39" s="222"/>
      <c r="AH39" s="222"/>
      <c r="AI39" s="227"/>
    </row>
  </sheetData>
  <phoneticPr fontId="29" type="noConversion"/>
  <conditionalFormatting sqref="A39:B39 A20:A37 A40:A1048576 A17 A15:B16">
    <cfRule type="duplicateValues" dxfId="23" priority="2"/>
  </conditionalFormatting>
  <conditionalFormatting sqref="D1">
    <cfRule type="duplicateValues" dxfId="22" priority="1"/>
  </conditionalFormatting>
  <dataValidations count="1">
    <dataValidation type="list" allowBlank="1" showInputMessage="1" showErrorMessage="1" sqref="I12:I13 I3:I10" xr:uid="{F721A9CB-AB83-4A23-A282-4F2F50E764D1}">
      <formula1>"Connected product, Edge control, Analytics,"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&amp;C_x000D_&amp;1#&amp;"Calibri"&amp;6&amp;K626469 General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91A0-F18E-41AA-908D-7A4EE2734BF1}">
  <dimension ref="A1:AI52"/>
  <sheetViews>
    <sheetView zoomScaleNormal="100" workbookViewId="0">
      <pane ySplit="2" topLeftCell="A3" activePane="bottomLeft" state="frozen"/>
      <selection pane="bottomLeft" activeCell="D41" sqref="D41"/>
    </sheetView>
  </sheetViews>
  <sheetFormatPr baseColWidth="10" defaultColWidth="8.5703125" defaultRowHeight="15"/>
  <cols>
    <col min="1" max="1" width="14.85546875" style="9" bestFit="1" customWidth="1"/>
    <col min="2" max="2" width="9.140625" style="9" customWidth="1"/>
    <col min="3" max="3" width="15.5703125" style="78" customWidth="1"/>
    <col min="4" max="4" width="37.7109375" style="9" customWidth="1"/>
    <col min="5" max="5" width="50.5703125" style="9" bestFit="1" customWidth="1"/>
    <col min="6" max="6" width="17.42578125" style="9" bestFit="1" customWidth="1"/>
    <col min="7" max="7" width="18.85546875" style="9" bestFit="1" customWidth="1"/>
    <col min="8" max="8" width="9.42578125" style="9" bestFit="1" customWidth="1"/>
    <col min="9" max="9" width="21.42578125" style="9" bestFit="1" customWidth="1"/>
    <col min="10" max="10" width="23" style="78" bestFit="1" customWidth="1"/>
    <col min="11" max="11" width="56" style="78" customWidth="1"/>
    <col min="12" max="12" width="65.42578125" style="78" customWidth="1"/>
    <col min="13" max="13" width="10.42578125" style="78" bestFit="1" customWidth="1"/>
    <col min="14" max="14" width="6.5703125" style="78" bestFit="1" customWidth="1"/>
    <col min="15" max="15" width="8.5703125" style="78" bestFit="1" customWidth="1"/>
    <col min="16" max="16" width="13.42578125" style="78" customWidth="1"/>
    <col min="17" max="17" width="9.42578125" style="78" bestFit="1" customWidth="1"/>
    <col min="18" max="18" width="8.42578125" style="78" customWidth="1"/>
    <col min="19" max="19" width="8.5703125" style="78" bestFit="1" customWidth="1"/>
    <col min="20" max="20" width="9.42578125" style="78" bestFit="1" customWidth="1"/>
    <col min="21" max="21" width="9" style="78" bestFit="1" customWidth="1"/>
    <col min="22" max="22" width="8" style="78" bestFit="1" customWidth="1"/>
    <col min="23" max="23" width="6.85546875" style="78" bestFit="1" customWidth="1"/>
    <col min="24" max="24" width="8.5703125" style="78" bestFit="1" customWidth="1"/>
    <col min="25" max="25" width="8.42578125" style="78" bestFit="1" customWidth="1"/>
    <col min="26" max="26" width="6.85546875" style="78" bestFit="1" customWidth="1"/>
    <col min="27" max="27" width="11" style="78" bestFit="1" customWidth="1"/>
    <col min="28" max="28" width="15.5703125" style="78" bestFit="1" customWidth="1"/>
    <col min="29" max="29" width="7.85546875" style="78" bestFit="1" customWidth="1"/>
    <col min="30" max="30" width="20.140625" style="78" customWidth="1"/>
    <col min="31" max="31" width="12.5703125" style="78" bestFit="1" customWidth="1"/>
    <col min="32" max="32" width="20.42578125" style="9" customWidth="1"/>
    <col min="33" max="33" width="16.42578125" style="9" customWidth="1"/>
    <col min="34" max="34" width="15.5703125" style="9" customWidth="1"/>
    <col min="35" max="35" width="13.42578125" style="9" customWidth="1"/>
    <col min="36" max="16384" width="8.5703125" style="9"/>
  </cols>
  <sheetData>
    <row r="1" spans="1:35">
      <c r="B1" s="78">
        <f>COUNTIF(Table3279[Seen on BS],"Yes")</f>
        <v>1</v>
      </c>
      <c r="C1" s="78">
        <f>COUNTIF(Table3279[Fingerprints available],"Yes")</f>
        <v>1</v>
      </c>
      <c r="D1" s="300">
        <f>COUNTA(Table3279[Product range])</f>
        <v>32</v>
      </c>
      <c r="E1" s="78">
        <f>SUBTOTAL(3,D3:D34)</f>
        <v>32</v>
      </c>
    </row>
    <row r="2" spans="1:35" s="300" customFormat="1" ht="30">
      <c r="A2" s="17" t="s">
        <v>63</v>
      </c>
      <c r="B2" s="103" t="s">
        <v>33</v>
      </c>
      <c r="C2" s="104" t="s">
        <v>64</v>
      </c>
      <c r="D2" s="17" t="s">
        <v>304</v>
      </c>
      <c r="E2" s="17" t="s">
        <v>66</v>
      </c>
      <c r="F2" s="17" t="s">
        <v>29</v>
      </c>
      <c r="G2" s="18" t="s">
        <v>28</v>
      </c>
      <c r="H2" s="18" t="s">
        <v>67</v>
      </c>
      <c r="I2" s="17" t="s">
        <v>68</v>
      </c>
      <c r="J2" s="17" t="s">
        <v>305</v>
      </c>
      <c r="K2" s="17" t="s">
        <v>70</v>
      </c>
      <c r="L2" s="19" t="s">
        <v>71</v>
      </c>
      <c r="M2" s="18" t="s">
        <v>72</v>
      </c>
      <c r="N2" s="18" t="s">
        <v>73</v>
      </c>
      <c r="O2" s="18" t="s">
        <v>74</v>
      </c>
      <c r="P2" s="18" t="s">
        <v>75</v>
      </c>
      <c r="Q2" s="18" t="s">
        <v>76</v>
      </c>
      <c r="R2" s="18" t="s">
        <v>77</v>
      </c>
      <c r="S2" s="18" t="s">
        <v>78</v>
      </c>
      <c r="T2" s="18" t="s">
        <v>79</v>
      </c>
      <c r="U2" s="18" t="s">
        <v>80</v>
      </c>
      <c r="V2" s="18" t="s">
        <v>81</v>
      </c>
      <c r="W2" s="18" t="s">
        <v>82</v>
      </c>
      <c r="X2" s="18" t="s">
        <v>83</v>
      </c>
      <c r="Y2" s="18" t="s">
        <v>84</v>
      </c>
      <c r="Z2" s="18" t="s">
        <v>85</v>
      </c>
      <c r="AA2" s="18" t="s">
        <v>86</v>
      </c>
      <c r="AB2" s="18" t="s">
        <v>87</v>
      </c>
      <c r="AC2" s="18" t="s">
        <v>88</v>
      </c>
      <c r="AD2" s="18" t="s">
        <v>89</v>
      </c>
      <c r="AE2" s="17" t="s">
        <v>90</v>
      </c>
      <c r="AF2" s="18" t="s">
        <v>91</v>
      </c>
      <c r="AG2" s="18" t="s">
        <v>92</v>
      </c>
      <c r="AH2" s="18" t="s">
        <v>306</v>
      </c>
      <c r="AI2" s="20" t="s">
        <v>94</v>
      </c>
    </row>
    <row r="3" spans="1:35" s="93" customFormat="1" ht="30">
      <c r="A3" s="1"/>
      <c r="B3" s="107" t="s">
        <v>307</v>
      </c>
      <c r="C3" s="1" t="s">
        <v>307</v>
      </c>
      <c r="D3" s="293" t="s">
        <v>319</v>
      </c>
      <c r="E3" s="12" t="s">
        <v>320</v>
      </c>
      <c r="F3" s="1" t="s">
        <v>321</v>
      </c>
      <c r="G3" s="55" t="s">
        <v>311</v>
      </c>
      <c r="H3" s="55" t="s">
        <v>322</v>
      </c>
      <c r="I3" s="12" t="s">
        <v>323</v>
      </c>
      <c r="J3" s="12"/>
      <c r="K3" s="12" t="s">
        <v>324</v>
      </c>
      <c r="L3" s="1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61"/>
    </row>
    <row r="4" spans="1:35" s="93" customFormat="1" ht="30">
      <c r="A4" s="1"/>
      <c r="B4" s="107" t="s">
        <v>307</v>
      </c>
      <c r="C4" s="1" t="s">
        <v>307</v>
      </c>
      <c r="D4" s="293" t="s">
        <v>338</v>
      </c>
      <c r="E4" s="12" t="s">
        <v>320</v>
      </c>
      <c r="F4" s="1" t="s">
        <v>321</v>
      </c>
      <c r="G4" s="55" t="s">
        <v>311</v>
      </c>
      <c r="H4" s="55" t="s">
        <v>322</v>
      </c>
      <c r="I4" s="12" t="s">
        <v>323</v>
      </c>
      <c r="J4" s="12"/>
      <c r="K4" s="12" t="s">
        <v>324</v>
      </c>
      <c r="L4" s="1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61"/>
    </row>
    <row r="5" spans="1:35" s="93" customFormat="1" ht="30">
      <c r="A5" s="1"/>
      <c r="B5" s="107" t="s">
        <v>307</v>
      </c>
      <c r="C5" s="1" t="s">
        <v>307</v>
      </c>
      <c r="D5" s="293" t="s">
        <v>339</v>
      </c>
      <c r="E5" s="12" t="s">
        <v>320</v>
      </c>
      <c r="F5" s="1" t="s">
        <v>321</v>
      </c>
      <c r="G5" s="55" t="s">
        <v>311</v>
      </c>
      <c r="H5" s="55" t="s">
        <v>322</v>
      </c>
      <c r="I5" s="12" t="s">
        <v>323</v>
      </c>
      <c r="J5" s="12"/>
      <c r="K5" s="12" t="s">
        <v>324</v>
      </c>
      <c r="L5" s="1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61"/>
    </row>
    <row r="6" spans="1:35" s="93" customFormat="1" ht="30">
      <c r="A6" s="1"/>
      <c r="B6" s="107" t="s">
        <v>307</v>
      </c>
      <c r="C6" s="1" t="s">
        <v>307</v>
      </c>
      <c r="D6" s="293" t="s">
        <v>340</v>
      </c>
      <c r="E6" s="12" t="s">
        <v>341</v>
      </c>
      <c r="F6" s="1" t="s">
        <v>321</v>
      </c>
      <c r="G6" s="55" t="s">
        <v>311</v>
      </c>
      <c r="H6" s="55" t="s">
        <v>312</v>
      </c>
      <c r="I6" s="12" t="s">
        <v>313</v>
      </c>
      <c r="J6" s="12" t="s">
        <v>342</v>
      </c>
      <c r="K6" s="12" t="s">
        <v>324</v>
      </c>
      <c r="L6" s="1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61"/>
    </row>
    <row r="7" spans="1:35" s="93" customFormat="1" ht="30">
      <c r="A7" s="1"/>
      <c r="B7" s="107" t="s">
        <v>307</v>
      </c>
      <c r="C7" s="1" t="s">
        <v>307</v>
      </c>
      <c r="D7" s="293" t="s">
        <v>346</v>
      </c>
      <c r="E7" s="12" t="s">
        <v>341</v>
      </c>
      <c r="F7" s="1" t="s">
        <v>321</v>
      </c>
      <c r="G7" s="55" t="s">
        <v>311</v>
      </c>
      <c r="H7" s="55" t="s">
        <v>322</v>
      </c>
      <c r="I7" s="12" t="s">
        <v>323</v>
      </c>
      <c r="J7" s="12"/>
      <c r="K7" s="12" t="s">
        <v>324</v>
      </c>
      <c r="L7" s="1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61"/>
    </row>
    <row r="8" spans="1:35" s="93" customFormat="1" ht="30">
      <c r="A8" s="1"/>
      <c r="B8" s="107" t="s">
        <v>307</v>
      </c>
      <c r="C8" s="1" t="s">
        <v>307</v>
      </c>
      <c r="D8" s="293" t="s">
        <v>351</v>
      </c>
      <c r="E8" s="12" t="s">
        <v>320</v>
      </c>
      <c r="F8" s="1" t="s">
        <v>321</v>
      </c>
      <c r="G8" s="55" t="s">
        <v>311</v>
      </c>
      <c r="H8" s="55" t="s">
        <v>322</v>
      </c>
      <c r="I8" s="12" t="s">
        <v>323</v>
      </c>
      <c r="J8" s="12"/>
      <c r="K8" s="12" t="s">
        <v>324</v>
      </c>
      <c r="L8" s="1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61"/>
    </row>
    <row r="9" spans="1:35" s="93" customFormat="1" ht="30">
      <c r="A9" s="1"/>
      <c r="B9" s="107" t="s">
        <v>307</v>
      </c>
      <c r="C9" s="1" t="s">
        <v>307</v>
      </c>
      <c r="D9" s="293" t="s">
        <v>355</v>
      </c>
      <c r="E9" s="12" t="s">
        <v>320</v>
      </c>
      <c r="F9" s="1" t="s">
        <v>321</v>
      </c>
      <c r="G9" s="55" t="s">
        <v>311</v>
      </c>
      <c r="H9" s="55" t="s">
        <v>322</v>
      </c>
      <c r="I9" s="12" t="s">
        <v>323</v>
      </c>
      <c r="J9" s="12"/>
      <c r="K9" s="12" t="s">
        <v>324</v>
      </c>
      <c r="L9" s="1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61"/>
    </row>
    <row r="10" spans="1:35" s="93" customFormat="1" ht="30">
      <c r="A10" s="1"/>
      <c r="B10" s="107" t="s">
        <v>97</v>
      </c>
      <c r="C10" s="1" t="s">
        <v>96</v>
      </c>
      <c r="D10" s="290" t="s">
        <v>408</v>
      </c>
      <c r="E10" s="12" t="s">
        <v>409</v>
      </c>
      <c r="F10" s="1" t="s">
        <v>321</v>
      </c>
      <c r="G10" s="55" t="s">
        <v>11</v>
      </c>
      <c r="H10" s="12" t="s">
        <v>145</v>
      </c>
      <c r="I10" s="12" t="s">
        <v>151</v>
      </c>
      <c r="J10" s="12" t="s">
        <v>107</v>
      </c>
      <c r="K10" s="12" t="s">
        <v>410</v>
      </c>
      <c r="L10" s="11" t="s">
        <v>147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61"/>
    </row>
    <row r="11" spans="1:35" s="93" customFormat="1" ht="30">
      <c r="A11" s="1"/>
      <c r="B11" s="107" t="s">
        <v>97</v>
      </c>
      <c r="C11" s="1" t="s">
        <v>97</v>
      </c>
      <c r="D11" s="290" t="s">
        <v>423</v>
      </c>
      <c r="E11" s="12" t="s">
        <v>422</v>
      </c>
      <c r="F11" s="1" t="s">
        <v>424</v>
      </c>
      <c r="G11" s="55" t="s">
        <v>11</v>
      </c>
      <c r="H11" s="55" t="s">
        <v>425</v>
      </c>
      <c r="I11" s="12" t="s">
        <v>119</v>
      </c>
      <c r="J11" s="12" t="s">
        <v>194</v>
      </c>
      <c r="K11" s="12"/>
      <c r="L11" s="11" t="s">
        <v>147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61"/>
    </row>
    <row r="12" spans="1:35" s="93" customFormat="1" ht="30">
      <c r="A12" s="1"/>
      <c r="B12" s="107" t="s">
        <v>307</v>
      </c>
      <c r="C12" s="1" t="s">
        <v>307</v>
      </c>
      <c r="D12" s="293" t="s">
        <v>426</v>
      </c>
      <c r="E12" s="12" t="s">
        <v>427</v>
      </c>
      <c r="F12" s="1" t="s">
        <v>321</v>
      </c>
      <c r="G12" s="55" t="s">
        <v>311</v>
      </c>
      <c r="H12" s="55" t="s">
        <v>322</v>
      </c>
      <c r="I12" s="12" t="s">
        <v>323</v>
      </c>
      <c r="J12" s="12"/>
      <c r="K12" s="12" t="s">
        <v>324</v>
      </c>
      <c r="L12" s="1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61"/>
    </row>
    <row r="13" spans="1:35" s="93" customFormat="1" ht="30">
      <c r="A13" s="1"/>
      <c r="B13" s="107" t="s">
        <v>97</v>
      </c>
      <c r="C13" s="1" t="s">
        <v>97</v>
      </c>
      <c r="D13" s="290" t="s">
        <v>431</v>
      </c>
      <c r="E13" s="12" t="s">
        <v>344</v>
      </c>
      <c r="F13" s="1" t="s">
        <v>424</v>
      </c>
      <c r="G13" s="55" t="s">
        <v>11</v>
      </c>
      <c r="H13" s="55" t="s">
        <v>145</v>
      </c>
      <c r="I13" s="12" t="s">
        <v>432</v>
      </c>
      <c r="J13" s="12" t="s">
        <v>194</v>
      </c>
      <c r="K13" s="12"/>
      <c r="L13" s="11" t="s">
        <v>147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61"/>
    </row>
    <row r="14" spans="1:35" s="93" customFormat="1" ht="30">
      <c r="A14" s="1"/>
      <c r="B14" s="107" t="s">
        <v>97</v>
      </c>
      <c r="C14" s="1" t="s">
        <v>97</v>
      </c>
      <c r="D14" s="11" t="s">
        <v>434</v>
      </c>
      <c r="E14" s="12" t="s">
        <v>435</v>
      </c>
      <c r="F14" s="1" t="s">
        <v>424</v>
      </c>
      <c r="G14" s="55" t="s">
        <v>11</v>
      </c>
      <c r="H14" s="12" t="s">
        <v>145</v>
      </c>
      <c r="I14" s="12" t="s">
        <v>119</v>
      </c>
      <c r="J14" s="12" t="s">
        <v>107</v>
      </c>
      <c r="K14" s="12" t="s">
        <v>436</v>
      </c>
      <c r="L14" s="11" t="s">
        <v>147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61"/>
    </row>
    <row r="15" spans="1:35" s="93" customFormat="1" ht="30">
      <c r="A15" s="1"/>
      <c r="B15" s="107" t="s">
        <v>97</v>
      </c>
      <c r="C15" s="1" t="s">
        <v>97</v>
      </c>
      <c r="D15" s="289" t="s">
        <v>437</v>
      </c>
      <c r="E15" s="12" t="s">
        <v>405</v>
      </c>
      <c r="F15" s="1" t="s">
        <v>424</v>
      </c>
      <c r="G15" s="55" t="s">
        <v>11</v>
      </c>
      <c r="H15" s="12" t="s">
        <v>145</v>
      </c>
      <c r="I15" s="12" t="s">
        <v>119</v>
      </c>
      <c r="J15" s="12" t="s">
        <v>107</v>
      </c>
      <c r="K15" s="12"/>
      <c r="L15" s="11" t="s">
        <v>147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61"/>
    </row>
    <row r="16" spans="1:35" s="93" customFormat="1" ht="30">
      <c r="A16" s="1"/>
      <c r="B16" s="107" t="s">
        <v>96</v>
      </c>
      <c r="C16" s="1" t="s">
        <v>97</v>
      </c>
      <c r="D16" s="290" t="s">
        <v>440</v>
      </c>
      <c r="E16" s="12" t="s">
        <v>403</v>
      </c>
      <c r="F16" s="14" t="s">
        <v>424</v>
      </c>
      <c r="G16" s="55" t="s">
        <v>11</v>
      </c>
      <c r="H16" s="55" t="s">
        <v>101</v>
      </c>
      <c r="I16" s="12" t="s">
        <v>441</v>
      </c>
      <c r="J16" s="12" t="s">
        <v>107</v>
      </c>
      <c r="K16" s="12" t="s">
        <v>442</v>
      </c>
      <c r="L16" s="11" t="s">
        <v>443</v>
      </c>
      <c r="M16" s="1"/>
      <c r="N16" s="1" t="s">
        <v>105</v>
      </c>
      <c r="O16" s="1"/>
      <c r="P16" s="1" t="s">
        <v>105</v>
      </c>
      <c r="Q16" s="1"/>
      <c r="R16" s="1"/>
      <c r="S16" s="1" t="s">
        <v>105</v>
      </c>
      <c r="T16" s="1" t="s">
        <v>105</v>
      </c>
      <c r="U16" s="1"/>
      <c r="V16" s="1"/>
      <c r="W16" s="1"/>
      <c r="X16" s="1"/>
      <c r="Y16" s="1"/>
      <c r="Z16" s="1" t="s">
        <v>105</v>
      </c>
      <c r="AA16" s="1"/>
      <c r="AB16" s="1"/>
      <c r="AC16" s="1" t="s">
        <v>105</v>
      </c>
      <c r="AD16" s="1" t="s">
        <v>105</v>
      </c>
      <c r="AE16" s="1"/>
      <c r="AF16" s="1"/>
      <c r="AG16" s="1"/>
      <c r="AH16" s="1"/>
      <c r="AI16" s="61"/>
    </row>
    <row r="17" spans="1:35" s="93" customFormat="1" ht="30">
      <c r="A17" s="1"/>
      <c r="B17" s="107" t="s">
        <v>97</v>
      </c>
      <c r="C17" s="1" t="s">
        <v>97</v>
      </c>
      <c r="D17" s="12" t="s">
        <v>444</v>
      </c>
      <c r="E17" s="12" t="s">
        <v>399</v>
      </c>
      <c r="F17" s="14" t="s">
        <v>424</v>
      </c>
      <c r="G17" s="55" t="s">
        <v>11</v>
      </c>
      <c r="H17" s="55" t="s">
        <v>145</v>
      </c>
      <c r="I17" s="12" t="s">
        <v>441</v>
      </c>
      <c r="J17" s="12" t="s">
        <v>107</v>
      </c>
      <c r="K17" s="12" t="s">
        <v>445</v>
      </c>
      <c r="L17" s="11" t="s">
        <v>147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61"/>
    </row>
    <row r="18" spans="1:35" s="93" customFormat="1" ht="30">
      <c r="A18" s="1"/>
      <c r="B18" s="107" t="s">
        <v>97</v>
      </c>
      <c r="C18" s="1" t="s">
        <v>97</v>
      </c>
      <c r="D18" s="289" t="s">
        <v>446</v>
      </c>
      <c r="E18" s="12" t="s">
        <v>405</v>
      </c>
      <c r="F18" s="1" t="s">
        <v>424</v>
      </c>
      <c r="G18" s="55" t="s">
        <v>11</v>
      </c>
      <c r="H18" s="12" t="s">
        <v>145</v>
      </c>
      <c r="I18" s="12" t="s">
        <v>151</v>
      </c>
      <c r="J18" s="12" t="s">
        <v>107</v>
      </c>
      <c r="K18" s="12"/>
      <c r="L18" s="11" t="s">
        <v>147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61"/>
    </row>
    <row r="19" spans="1:35" s="93" customFormat="1" ht="30">
      <c r="A19" s="1"/>
      <c r="B19" s="107" t="s">
        <v>307</v>
      </c>
      <c r="C19" s="1" t="s">
        <v>307</v>
      </c>
      <c r="D19" s="293" t="s">
        <v>455</v>
      </c>
      <c r="E19" s="12" t="s">
        <v>320</v>
      </c>
      <c r="F19" s="1" t="s">
        <v>321</v>
      </c>
      <c r="G19" s="55" t="s">
        <v>311</v>
      </c>
      <c r="H19" s="55" t="s">
        <v>322</v>
      </c>
      <c r="I19" s="12" t="s">
        <v>323</v>
      </c>
      <c r="J19" s="12"/>
      <c r="K19" s="12" t="s">
        <v>324</v>
      </c>
      <c r="L19" s="1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61"/>
    </row>
    <row r="20" spans="1:35" s="93" customFormat="1" ht="30">
      <c r="A20" s="1"/>
      <c r="B20" s="107" t="s">
        <v>307</v>
      </c>
      <c r="C20" s="1" t="s">
        <v>307</v>
      </c>
      <c r="D20" s="293" t="s">
        <v>456</v>
      </c>
      <c r="E20" s="12" t="s">
        <v>320</v>
      </c>
      <c r="F20" s="1" t="s">
        <v>321</v>
      </c>
      <c r="G20" s="55" t="s">
        <v>311</v>
      </c>
      <c r="H20" s="55" t="s">
        <v>322</v>
      </c>
      <c r="I20" s="12" t="s">
        <v>323</v>
      </c>
      <c r="J20" s="12"/>
      <c r="K20" s="12" t="s">
        <v>324</v>
      </c>
      <c r="L20" s="1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61"/>
    </row>
    <row r="21" spans="1:35" ht="45">
      <c r="A21" s="1"/>
      <c r="B21" s="107" t="s">
        <v>307</v>
      </c>
      <c r="C21" s="1" t="s">
        <v>307</v>
      </c>
      <c r="D21" s="293" t="s">
        <v>477</v>
      </c>
      <c r="E21" s="12" t="s">
        <v>320</v>
      </c>
      <c r="F21" s="1" t="s">
        <v>321</v>
      </c>
      <c r="G21" s="55" t="s">
        <v>311</v>
      </c>
      <c r="H21" s="55" t="s">
        <v>322</v>
      </c>
      <c r="I21" s="12" t="s">
        <v>323</v>
      </c>
      <c r="J21" s="12"/>
      <c r="K21" s="12" t="s">
        <v>324</v>
      </c>
      <c r="L21" s="1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61"/>
    </row>
    <row r="22" spans="1:35" ht="30">
      <c r="A22" s="1"/>
      <c r="B22" s="107" t="s">
        <v>307</v>
      </c>
      <c r="C22" s="1" t="s">
        <v>307</v>
      </c>
      <c r="D22" s="293" t="s">
        <v>478</v>
      </c>
      <c r="E22" s="12" t="s">
        <v>320</v>
      </c>
      <c r="F22" s="1" t="s">
        <v>321</v>
      </c>
      <c r="G22" s="55" t="s">
        <v>311</v>
      </c>
      <c r="H22" s="55" t="s">
        <v>322</v>
      </c>
      <c r="I22" s="12" t="s">
        <v>323</v>
      </c>
      <c r="J22" s="12"/>
      <c r="K22" s="12" t="s">
        <v>324</v>
      </c>
      <c r="L22" s="1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61"/>
    </row>
    <row r="23" spans="1:35" ht="30">
      <c r="A23" s="1"/>
      <c r="B23" s="107" t="s">
        <v>307</v>
      </c>
      <c r="C23" s="1" t="s">
        <v>307</v>
      </c>
      <c r="D23" s="293" t="s">
        <v>480</v>
      </c>
      <c r="E23" s="12" t="s">
        <v>320</v>
      </c>
      <c r="F23" s="1" t="s">
        <v>321</v>
      </c>
      <c r="G23" s="55" t="s">
        <v>311</v>
      </c>
      <c r="H23" s="55" t="s">
        <v>322</v>
      </c>
      <c r="I23" s="12" t="s">
        <v>323</v>
      </c>
      <c r="J23" s="12"/>
      <c r="K23" s="12" t="s">
        <v>324</v>
      </c>
      <c r="L23" s="1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61"/>
    </row>
    <row r="24" spans="1:35" ht="30">
      <c r="A24" s="1"/>
      <c r="B24" s="107" t="s">
        <v>307</v>
      </c>
      <c r="C24" s="1" t="s">
        <v>307</v>
      </c>
      <c r="D24" s="293" t="s">
        <v>481</v>
      </c>
      <c r="E24" s="12" t="s">
        <v>320</v>
      </c>
      <c r="F24" s="1" t="s">
        <v>321</v>
      </c>
      <c r="G24" s="55" t="s">
        <v>311</v>
      </c>
      <c r="H24" s="55" t="s">
        <v>322</v>
      </c>
      <c r="I24" s="12" t="s">
        <v>323</v>
      </c>
      <c r="J24" s="12"/>
      <c r="K24" s="12" t="s">
        <v>324</v>
      </c>
      <c r="L24" s="1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61"/>
    </row>
    <row r="25" spans="1:35" ht="30">
      <c r="A25" s="1"/>
      <c r="B25" s="107" t="s">
        <v>307</v>
      </c>
      <c r="C25" s="1" t="s">
        <v>307</v>
      </c>
      <c r="D25" s="293" t="s">
        <v>482</v>
      </c>
      <c r="E25" s="12" t="s">
        <v>483</v>
      </c>
      <c r="F25" s="1" t="s">
        <v>321</v>
      </c>
      <c r="G25" s="55" t="s">
        <v>311</v>
      </c>
      <c r="H25" s="55" t="s">
        <v>322</v>
      </c>
      <c r="I25" s="12" t="s">
        <v>323</v>
      </c>
      <c r="J25" s="12"/>
      <c r="K25" s="12" t="s">
        <v>324</v>
      </c>
      <c r="L25" s="1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61"/>
    </row>
    <row r="26" spans="1:35" ht="30">
      <c r="A26" s="1"/>
      <c r="B26" s="292" t="s">
        <v>307</v>
      </c>
      <c r="C26" s="28" t="s">
        <v>307</v>
      </c>
      <c r="D26" s="294" t="s">
        <v>497</v>
      </c>
      <c r="E26" s="27" t="s">
        <v>341</v>
      </c>
      <c r="F26" s="28" t="s">
        <v>321</v>
      </c>
      <c r="G26" s="76" t="s">
        <v>311</v>
      </c>
      <c r="H26" s="76" t="s">
        <v>312</v>
      </c>
      <c r="I26" s="27" t="s">
        <v>313</v>
      </c>
      <c r="J26" s="27" t="s">
        <v>342</v>
      </c>
      <c r="K26" s="27" t="s">
        <v>324</v>
      </c>
      <c r="L26" s="35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60"/>
    </row>
    <row r="27" spans="1:35" ht="30">
      <c r="A27" s="1"/>
      <c r="B27" s="107" t="s">
        <v>307</v>
      </c>
      <c r="C27" s="1" t="s">
        <v>307</v>
      </c>
      <c r="D27" s="293" t="s">
        <v>501</v>
      </c>
      <c r="E27" s="12" t="s">
        <v>483</v>
      </c>
      <c r="F27" s="1" t="s">
        <v>321</v>
      </c>
      <c r="G27" s="55" t="s">
        <v>311</v>
      </c>
      <c r="H27" s="76" t="s">
        <v>322</v>
      </c>
      <c r="I27" s="12" t="s">
        <v>323</v>
      </c>
      <c r="J27" s="12"/>
      <c r="K27" s="12" t="s">
        <v>324</v>
      </c>
      <c r="L27" s="1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61"/>
    </row>
    <row r="28" spans="1:35" ht="30">
      <c r="A28" s="1"/>
      <c r="B28" s="107" t="s">
        <v>307</v>
      </c>
      <c r="C28" s="1" t="s">
        <v>307</v>
      </c>
      <c r="D28" s="293" t="s">
        <v>504</v>
      </c>
      <c r="E28" s="12" t="s">
        <v>320</v>
      </c>
      <c r="F28" s="1" t="s">
        <v>321</v>
      </c>
      <c r="G28" s="55" t="s">
        <v>311</v>
      </c>
      <c r="H28" s="55" t="s">
        <v>322</v>
      </c>
      <c r="I28" s="12" t="s">
        <v>415</v>
      </c>
      <c r="J28" s="12"/>
      <c r="K28" s="12" t="s">
        <v>324</v>
      </c>
      <c r="L28" s="1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61"/>
    </row>
    <row r="29" spans="1:35" ht="30">
      <c r="A29" s="28"/>
      <c r="B29" s="292" t="s">
        <v>307</v>
      </c>
      <c r="C29" s="28" t="s">
        <v>307</v>
      </c>
      <c r="D29" s="293" t="s">
        <v>627</v>
      </c>
      <c r="E29" s="27" t="s">
        <v>341</v>
      </c>
      <c r="F29" s="28" t="s">
        <v>321</v>
      </c>
      <c r="G29" s="76" t="s">
        <v>311</v>
      </c>
      <c r="H29" s="76" t="s">
        <v>312</v>
      </c>
      <c r="I29" s="27" t="s">
        <v>313</v>
      </c>
      <c r="J29" s="27" t="s">
        <v>342</v>
      </c>
      <c r="K29" s="27" t="s">
        <v>324</v>
      </c>
      <c r="L29" s="35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60"/>
    </row>
    <row r="30" spans="1:35" ht="30">
      <c r="A30" s="1"/>
      <c r="B30" s="107" t="s">
        <v>307</v>
      </c>
      <c r="C30" s="1" t="s">
        <v>307</v>
      </c>
      <c r="D30" s="293" t="s">
        <v>635</v>
      </c>
      <c r="E30" s="12" t="s">
        <v>341</v>
      </c>
      <c r="F30" s="1" t="s">
        <v>321</v>
      </c>
      <c r="G30" s="55" t="s">
        <v>311</v>
      </c>
      <c r="H30" s="55" t="s">
        <v>322</v>
      </c>
      <c r="I30" s="12" t="s">
        <v>323</v>
      </c>
      <c r="J30" s="12"/>
      <c r="K30" s="12" t="s">
        <v>324</v>
      </c>
      <c r="L30" s="1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61"/>
    </row>
    <row r="31" spans="1:35" ht="30">
      <c r="A31" s="1"/>
      <c r="B31" s="107" t="s">
        <v>307</v>
      </c>
      <c r="C31" s="1" t="s">
        <v>307</v>
      </c>
      <c r="D31" s="293" t="s">
        <v>641</v>
      </c>
      <c r="E31" s="12" t="s">
        <v>336</v>
      </c>
      <c r="F31" s="1" t="s">
        <v>321</v>
      </c>
      <c r="G31" s="55" t="s">
        <v>311</v>
      </c>
      <c r="H31" s="55" t="s">
        <v>322</v>
      </c>
      <c r="I31" s="12"/>
      <c r="J31" s="12"/>
      <c r="K31" s="12" t="s">
        <v>324</v>
      </c>
      <c r="L31" s="1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61"/>
    </row>
    <row r="32" spans="1:35" ht="30">
      <c r="A32" s="1"/>
      <c r="B32" s="107" t="s">
        <v>307</v>
      </c>
      <c r="C32" s="1" t="s">
        <v>307</v>
      </c>
      <c r="D32" s="293" t="s">
        <v>642</v>
      </c>
      <c r="E32" s="12" t="s">
        <v>341</v>
      </c>
      <c r="F32" s="1" t="s">
        <v>321</v>
      </c>
      <c r="G32" s="55" t="s">
        <v>311</v>
      </c>
      <c r="H32" s="55" t="s">
        <v>312</v>
      </c>
      <c r="I32" s="12" t="s">
        <v>313</v>
      </c>
      <c r="J32" s="12"/>
      <c r="K32" s="12" t="s">
        <v>324</v>
      </c>
      <c r="L32" s="1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61"/>
    </row>
    <row r="33" spans="1:35" ht="30">
      <c r="A33" s="1"/>
      <c r="B33" s="107" t="s">
        <v>307</v>
      </c>
      <c r="C33" s="1" t="s">
        <v>307</v>
      </c>
      <c r="D33" s="293" t="s">
        <v>643</v>
      </c>
      <c r="E33" s="12" t="s">
        <v>320</v>
      </c>
      <c r="F33" s="1" t="s">
        <v>321</v>
      </c>
      <c r="G33" s="55" t="s">
        <v>311</v>
      </c>
      <c r="H33" s="55" t="s">
        <v>322</v>
      </c>
      <c r="I33" s="12" t="s">
        <v>323</v>
      </c>
      <c r="J33" s="12"/>
      <c r="K33" s="12" t="s">
        <v>324</v>
      </c>
      <c r="L33" s="1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61"/>
    </row>
    <row r="34" spans="1:35" ht="30">
      <c r="A34" s="28"/>
      <c r="B34" s="292" t="s">
        <v>307</v>
      </c>
      <c r="C34" s="28" t="s">
        <v>307</v>
      </c>
      <c r="D34" s="294" t="s">
        <v>644</v>
      </c>
      <c r="E34" s="27" t="s">
        <v>341</v>
      </c>
      <c r="F34" s="1" t="s">
        <v>321</v>
      </c>
      <c r="G34" s="55" t="s">
        <v>311</v>
      </c>
      <c r="H34" s="55" t="s">
        <v>312</v>
      </c>
      <c r="I34" s="12" t="s">
        <v>313</v>
      </c>
      <c r="J34" s="12"/>
      <c r="K34" s="12" t="s">
        <v>324</v>
      </c>
      <c r="L34" s="35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60"/>
    </row>
    <row r="41" spans="1:35">
      <c r="E41" s="9" t="s">
        <v>656</v>
      </c>
    </row>
    <row r="43" spans="1:35" ht="30">
      <c r="E43" s="296" t="s">
        <v>657</v>
      </c>
    </row>
    <row r="45" spans="1:35" ht="30">
      <c r="E45" s="297" t="s">
        <v>658</v>
      </c>
    </row>
    <row r="47" spans="1:35" ht="30">
      <c r="E47" s="106" t="s">
        <v>659</v>
      </c>
    </row>
    <row r="48" spans="1:35">
      <c r="E48" s="106"/>
    </row>
    <row r="49" spans="5:5">
      <c r="E49" s="106"/>
    </row>
    <row r="50" spans="5:5">
      <c r="E50" s="106"/>
    </row>
    <row r="51" spans="5:5">
      <c r="E51" s="106"/>
    </row>
    <row r="52" spans="5:5">
      <c r="E52" s="106"/>
    </row>
  </sheetData>
  <phoneticPr fontId="29" type="noConversion"/>
  <conditionalFormatting sqref="A37:A1048576 A30:A34 A27:B29">
    <cfRule type="duplicateValues" dxfId="21" priority="15"/>
  </conditionalFormatting>
  <conditionalFormatting sqref="D1">
    <cfRule type="duplicateValues" dxfId="20" priority="1"/>
  </conditionalFormatting>
  <dataValidations count="1">
    <dataValidation type="list" allowBlank="1" showInputMessage="1" showErrorMessage="1" sqref="I3:I20" xr:uid="{EF30DA7B-F7D3-4ADE-B4A5-03B2759098D6}">
      <formula1>"Connected product, Edge control, Analytics,"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&amp;C_x000D_&amp;1#&amp;"Calibri"&amp;6&amp;K626469 General</oddFooter>
  </headerFooter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BB00-1D14-4AE8-A33A-1F6694D031D4}">
  <dimension ref="A1:AN24"/>
  <sheetViews>
    <sheetView zoomScaleNormal="100" workbookViewId="0">
      <pane xSplit="5" ySplit="2" topLeftCell="F7" activePane="bottomRight" state="frozen"/>
      <selection pane="topRight"/>
      <selection pane="bottomLeft"/>
      <selection pane="bottomRight" activeCell="E28" sqref="E28"/>
    </sheetView>
  </sheetViews>
  <sheetFormatPr baseColWidth="10" defaultColWidth="8.85546875" defaultRowHeight="15"/>
  <cols>
    <col min="1" max="1" width="8.85546875" style="78"/>
    <col min="2" max="2" width="12.85546875" style="9" customWidth="1"/>
    <col min="3" max="4" width="13.5703125" style="9" customWidth="1"/>
    <col min="5" max="5" width="34.42578125" style="9" bestFit="1" customWidth="1"/>
    <col min="6" max="6" width="31.140625" style="9" customWidth="1"/>
    <col min="7" max="7" width="14.42578125" style="9" customWidth="1"/>
    <col min="8" max="8" width="18.85546875" style="9" customWidth="1"/>
    <col min="9" max="9" width="9.42578125" style="78" customWidth="1"/>
    <col min="10" max="10" width="20.5703125" style="9" customWidth="1"/>
    <col min="11" max="11" width="23.42578125" style="9" bestFit="1" customWidth="1"/>
    <col min="12" max="12" width="40.5703125" style="9" customWidth="1"/>
    <col min="13" max="13" width="44.140625" style="9" bestFit="1" customWidth="1"/>
    <col min="14" max="14" width="7.85546875" style="78" customWidth="1"/>
    <col min="15" max="15" width="9.42578125" style="9" bestFit="1" customWidth="1"/>
    <col min="16" max="16" width="5.85546875" style="9" bestFit="1" customWidth="1"/>
    <col min="17" max="17" width="6.42578125" style="9" bestFit="1" customWidth="1"/>
    <col min="18" max="18" width="10.140625" style="9" customWidth="1"/>
    <col min="19" max="19" width="6.5703125" style="9" bestFit="1" customWidth="1"/>
    <col min="20" max="20" width="8.42578125" style="9" bestFit="1" customWidth="1"/>
    <col min="21" max="21" width="10.42578125" style="9" bestFit="1" customWidth="1"/>
    <col min="22" max="22" width="9.42578125" style="9" customWidth="1"/>
    <col min="23" max="23" width="7.5703125" style="9" bestFit="1" customWidth="1"/>
    <col min="24" max="24" width="8.42578125" style="9" bestFit="1" customWidth="1"/>
    <col min="25" max="26" width="8.5703125" style="9" bestFit="1" customWidth="1"/>
    <col min="27" max="27" width="10.140625" style="9" bestFit="1" customWidth="1"/>
    <col min="28" max="28" width="9.42578125" style="9" bestFit="1" customWidth="1"/>
    <col min="29" max="29" width="10.42578125" style="9" bestFit="1" customWidth="1"/>
    <col min="30" max="31" width="9.42578125" style="9" bestFit="1" customWidth="1"/>
    <col min="32" max="32" width="10.85546875" style="9" bestFit="1" customWidth="1"/>
    <col min="33" max="33" width="15.85546875" style="9" bestFit="1" customWidth="1"/>
    <col min="34" max="34" width="13.42578125" style="9" bestFit="1" customWidth="1"/>
    <col min="35" max="35" width="11.42578125" style="9" bestFit="1" customWidth="1"/>
    <col min="36" max="36" width="13" style="9" bestFit="1" customWidth="1"/>
    <col min="37" max="16384" width="8.85546875" style="9"/>
  </cols>
  <sheetData>
    <row r="1" spans="1:40" s="78" customFormat="1">
      <c r="C1" s="78">
        <f>COUNTIF(Table329[Seen on BS],"Yes")</f>
        <v>5</v>
      </c>
      <c r="D1" s="78">
        <f>COUNTIF(Table329[Fingerprints available],"Yes")</f>
        <v>2</v>
      </c>
      <c r="E1" s="78">
        <f>COUNTA(Table329[[Product range ]])</f>
        <v>22</v>
      </c>
      <c r="AM1" s="145" t="s">
        <v>1047</v>
      </c>
    </row>
    <row r="2" spans="1:40" s="88" customFormat="1" ht="30">
      <c r="A2" s="179" t="s">
        <v>1048</v>
      </c>
      <c r="B2" s="180" t="s">
        <v>1049</v>
      </c>
      <c r="C2" s="103" t="s">
        <v>33</v>
      </c>
      <c r="D2" s="104" t="s">
        <v>64</v>
      </c>
      <c r="E2" s="17" t="s">
        <v>65</v>
      </c>
      <c r="F2" s="17" t="s">
        <v>66</v>
      </c>
      <c r="G2" s="17" t="s">
        <v>29</v>
      </c>
      <c r="H2" s="18" t="s">
        <v>28</v>
      </c>
      <c r="I2" s="18" t="s">
        <v>67</v>
      </c>
      <c r="J2" s="17" t="s">
        <v>68</v>
      </c>
      <c r="K2" s="17" t="s">
        <v>305</v>
      </c>
      <c r="L2" s="17" t="s">
        <v>70</v>
      </c>
      <c r="M2" s="18" t="s">
        <v>71</v>
      </c>
      <c r="N2" s="18" t="s">
        <v>1050</v>
      </c>
      <c r="O2" s="18" t="s">
        <v>72</v>
      </c>
      <c r="P2" s="18" t="s">
        <v>73</v>
      </c>
      <c r="Q2" s="18" t="s">
        <v>74</v>
      </c>
      <c r="R2" s="18" t="s">
        <v>960</v>
      </c>
      <c r="S2" s="18" t="s">
        <v>76</v>
      </c>
      <c r="T2" s="18" t="s">
        <v>77</v>
      </c>
      <c r="U2" s="18" t="s">
        <v>78</v>
      </c>
      <c r="V2" s="18" t="s">
        <v>121</v>
      </c>
      <c r="W2" s="18" t="s">
        <v>80</v>
      </c>
      <c r="X2" s="18" t="s">
        <v>81</v>
      </c>
      <c r="Y2" s="18" t="s">
        <v>82</v>
      </c>
      <c r="Z2" s="18" t="s">
        <v>83</v>
      </c>
      <c r="AA2" s="18" t="s">
        <v>84</v>
      </c>
      <c r="AB2" s="18" t="s">
        <v>85</v>
      </c>
      <c r="AC2" s="18" t="s">
        <v>86</v>
      </c>
      <c r="AD2" s="18" t="s">
        <v>87</v>
      </c>
      <c r="AE2" s="18" t="s">
        <v>88</v>
      </c>
      <c r="AF2" s="18" t="s">
        <v>1051</v>
      </c>
      <c r="AG2" s="17" t="s">
        <v>90</v>
      </c>
      <c r="AH2" s="18" t="s">
        <v>91</v>
      </c>
      <c r="AI2" s="18" t="s">
        <v>92</v>
      </c>
      <c r="AJ2" s="20" t="s">
        <v>663</v>
      </c>
      <c r="AM2" s="175" t="s">
        <v>95</v>
      </c>
      <c r="AN2" s="78" t="s">
        <v>1052</v>
      </c>
    </row>
    <row r="3" spans="1:40" s="93" customFormat="1" ht="30">
      <c r="A3" s="178" t="s">
        <v>108</v>
      </c>
      <c r="B3" s="178"/>
      <c r="C3" s="110" t="s">
        <v>97</v>
      </c>
      <c r="D3" s="1" t="s">
        <v>97</v>
      </c>
      <c r="E3" s="12" t="s">
        <v>1053</v>
      </c>
      <c r="F3" s="12" t="s">
        <v>1054</v>
      </c>
      <c r="G3" s="65" t="s">
        <v>40</v>
      </c>
      <c r="H3" s="55" t="s">
        <v>964</v>
      </c>
      <c r="I3" s="14" t="s">
        <v>101</v>
      </c>
      <c r="J3" s="12" t="s">
        <v>119</v>
      </c>
      <c r="K3" s="65" t="s">
        <v>107</v>
      </c>
      <c r="L3" s="65"/>
      <c r="M3" s="55" t="s">
        <v>1055</v>
      </c>
      <c r="N3" s="14" t="s">
        <v>105</v>
      </c>
      <c r="O3" s="1"/>
      <c r="P3" s="1"/>
      <c r="Q3" s="1"/>
      <c r="R3" s="1"/>
      <c r="S3" s="1"/>
      <c r="T3" s="1"/>
      <c r="U3" s="1" t="s">
        <v>105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61"/>
      <c r="AM3" s="176" t="s">
        <v>142</v>
      </c>
      <c r="AN3" s="9"/>
    </row>
    <row r="4" spans="1:40" s="93" customFormat="1" ht="30">
      <c r="A4" s="177" t="s">
        <v>108</v>
      </c>
      <c r="B4" s="177"/>
      <c r="C4" s="110" t="s">
        <v>97</v>
      </c>
      <c r="D4" s="1" t="s">
        <v>97</v>
      </c>
      <c r="E4" s="12" t="s">
        <v>1056</v>
      </c>
      <c r="F4" s="64" t="s">
        <v>1057</v>
      </c>
      <c r="G4" s="65" t="s">
        <v>40</v>
      </c>
      <c r="H4" s="12" t="s">
        <v>964</v>
      </c>
      <c r="I4" s="1" t="s">
        <v>101</v>
      </c>
      <c r="J4" s="65" t="s">
        <v>318</v>
      </c>
      <c r="K4" s="65" t="s">
        <v>107</v>
      </c>
      <c r="L4" s="65" t="s">
        <v>1058</v>
      </c>
      <c r="M4" s="55" t="s">
        <v>1059</v>
      </c>
      <c r="N4" s="14"/>
      <c r="O4" s="1"/>
      <c r="P4" s="1"/>
      <c r="Q4" s="1"/>
      <c r="R4" s="31"/>
      <c r="S4" s="1"/>
      <c r="T4" s="1"/>
      <c r="U4" s="31"/>
      <c r="V4" s="31"/>
      <c r="W4" s="1"/>
      <c r="X4" s="31"/>
      <c r="Y4" s="1"/>
      <c r="Z4" s="1"/>
      <c r="AA4" s="1"/>
      <c r="AB4" s="1"/>
      <c r="AC4" s="31"/>
      <c r="AD4" s="1"/>
      <c r="AE4" s="1"/>
      <c r="AF4" s="1"/>
      <c r="AG4" s="1"/>
      <c r="AH4" s="1"/>
      <c r="AI4" s="31" t="s">
        <v>105</v>
      </c>
      <c r="AJ4" s="61"/>
      <c r="AM4" s="176" t="s">
        <v>108</v>
      </c>
      <c r="AN4" s="9" t="s">
        <v>1060</v>
      </c>
    </row>
    <row r="5" spans="1:40" s="93" customFormat="1" ht="30">
      <c r="A5" s="177" t="s">
        <v>108</v>
      </c>
      <c r="B5" s="177"/>
      <c r="C5" s="110" t="s">
        <v>96</v>
      </c>
      <c r="D5" s="1" t="s">
        <v>97</v>
      </c>
      <c r="E5" s="64" t="s">
        <v>1061</v>
      </c>
      <c r="F5" s="64" t="s">
        <v>1057</v>
      </c>
      <c r="G5" s="65" t="s">
        <v>40</v>
      </c>
      <c r="H5" s="12" t="s">
        <v>964</v>
      </c>
      <c r="I5" s="1" t="s">
        <v>101</v>
      </c>
      <c r="J5" s="65" t="s">
        <v>318</v>
      </c>
      <c r="K5" s="65" t="s">
        <v>107</v>
      </c>
      <c r="L5" s="65" t="s">
        <v>1062</v>
      </c>
      <c r="M5" s="64" t="s">
        <v>594</v>
      </c>
      <c r="N5" s="31" t="s">
        <v>105</v>
      </c>
      <c r="O5" s="1"/>
      <c r="P5" s="1"/>
      <c r="Q5" s="1"/>
      <c r="R5" s="31"/>
      <c r="S5" s="1"/>
      <c r="T5" s="1"/>
      <c r="U5" s="31" t="s">
        <v>105</v>
      </c>
      <c r="V5" s="31"/>
      <c r="W5" s="1"/>
      <c r="X5" s="31"/>
      <c r="Y5" s="1"/>
      <c r="Z5" s="1"/>
      <c r="AA5" s="1"/>
      <c r="AB5" s="1"/>
      <c r="AC5" s="31"/>
      <c r="AD5" s="1"/>
      <c r="AE5" s="1"/>
      <c r="AF5" s="1"/>
      <c r="AG5" s="1"/>
      <c r="AH5" s="1"/>
      <c r="AI5" s="31"/>
      <c r="AJ5" s="61"/>
    </row>
    <row r="6" spans="1:40" s="93" customFormat="1" ht="60">
      <c r="A6" s="177" t="s">
        <v>108</v>
      </c>
      <c r="B6" s="177"/>
      <c r="C6" s="110" t="s">
        <v>96</v>
      </c>
      <c r="D6" s="1" t="s">
        <v>97</v>
      </c>
      <c r="E6" s="12" t="s">
        <v>1063</v>
      </c>
      <c r="F6" s="64" t="s">
        <v>1057</v>
      </c>
      <c r="G6" s="65" t="s">
        <v>40</v>
      </c>
      <c r="H6" s="12" t="s">
        <v>964</v>
      </c>
      <c r="I6" s="1" t="s">
        <v>101</v>
      </c>
      <c r="J6" s="65" t="s">
        <v>318</v>
      </c>
      <c r="K6" s="65" t="s">
        <v>107</v>
      </c>
      <c r="L6" s="65" t="s">
        <v>1064</v>
      </c>
      <c r="M6" s="66" t="s">
        <v>1065</v>
      </c>
      <c r="N6" s="173" t="s">
        <v>105</v>
      </c>
      <c r="O6" s="1"/>
      <c r="P6" s="1"/>
      <c r="Q6" s="1"/>
      <c r="R6" s="1"/>
      <c r="S6" s="1"/>
      <c r="T6" s="1"/>
      <c r="U6" s="1" t="s">
        <v>105</v>
      </c>
      <c r="V6" s="1" t="s">
        <v>105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105</v>
      </c>
      <c r="AJ6" s="61"/>
    </row>
    <row r="7" spans="1:40" s="93" customFormat="1" ht="30">
      <c r="A7" s="177" t="s">
        <v>108</v>
      </c>
      <c r="B7" s="177"/>
      <c r="C7" s="110" t="s">
        <v>97</v>
      </c>
      <c r="D7" s="1" t="s">
        <v>97</v>
      </c>
      <c r="E7" s="120" t="s">
        <v>1066</v>
      </c>
      <c r="F7" s="12" t="s">
        <v>405</v>
      </c>
      <c r="G7" s="68" t="s">
        <v>40</v>
      </c>
      <c r="H7" s="68" t="s">
        <v>964</v>
      </c>
      <c r="I7" s="14" t="s">
        <v>101</v>
      </c>
      <c r="J7" s="12" t="s">
        <v>119</v>
      </c>
      <c r="K7" s="65" t="s">
        <v>107</v>
      </c>
      <c r="L7" s="65"/>
      <c r="M7" s="55" t="s">
        <v>1067</v>
      </c>
      <c r="N7" s="14" t="s">
        <v>105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61"/>
    </row>
    <row r="8" spans="1:40" s="93" customFormat="1" ht="45">
      <c r="A8" s="177" t="s">
        <v>95</v>
      </c>
      <c r="B8" s="177" t="s">
        <v>96</v>
      </c>
      <c r="C8" s="110" t="s">
        <v>96</v>
      </c>
      <c r="D8" s="1" t="s">
        <v>97</v>
      </c>
      <c r="E8" s="120" t="s">
        <v>1068</v>
      </c>
      <c r="F8" s="12" t="s">
        <v>405</v>
      </c>
      <c r="G8" s="68" t="s">
        <v>40</v>
      </c>
      <c r="H8" s="68" t="s">
        <v>964</v>
      </c>
      <c r="I8" s="14" t="s">
        <v>101</v>
      </c>
      <c r="J8" s="12" t="s">
        <v>119</v>
      </c>
      <c r="K8" s="65" t="s">
        <v>107</v>
      </c>
      <c r="L8" s="12"/>
      <c r="M8" s="11" t="s">
        <v>1069</v>
      </c>
      <c r="N8" s="1"/>
      <c r="O8" s="14"/>
      <c r="P8" s="14"/>
      <c r="Q8" s="14" t="s">
        <v>105</v>
      </c>
      <c r="R8" s="14" t="s">
        <v>105</v>
      </c>
      <c r="S8" s="14"/>
      <c r="T8" s="14"/>
      <c r="U8" s="14" t="s">
        <v>105</v>
      </c>
      <c r="V8" s="14" t="s">
        <v>105</v>
      </c>
      <c r="W8" s="14" t="s">
        <v>105</v>
      </c>
      <c r="X8" s="14" t="s">
        <v>105</v>
      </c>
      <c r="Y8" s="14"/>
      <c r="Z8" s="14"/>
      <c r="AA8" s="14"/>
      <c r="AB8" s="14" t="s">
        <v>105</v>
      </c>
      <c r="AC8" s="14" t="s">
        <v>105</v>
      </c>
      <c r="AD8" s="14"/>
      <c r="AE8" s="1"/>
      <c r="AF8" s="1"/>
      <c r="AG8" s="1"/>
      <c r="AH8" s="1" t="s">
        <v>105</v>
      </c>
      <c r="AI8" s="1"/>
      <c r="AJ8" s="61"/>
    </row>
    <row r="9" spans="1:40" s="93" customFormat="1" ht="45">
      <c r="A9" s="177" t="s">
        <v>95</v>
      </c>
      <c r="B9" s="177" t="s">
        <v>96</v>
      </c>
      <c r="C9" s="174" t="s">
        <v>96</v>
      </c>
      <c r="D9" s="1" t="s">
        <v>97</v>
      </c>
      <c r="E9" s="120" t="s">
        <v>1070</v>
      </c>
      <c r="F9" s="12" t="s">
        <v>405</v>
      </c>
      <c r="G9" s="68" t="s">
        <v>40</v>
      </c>
      <c r="H9" s="68" t="s">
        <v>964</v>
      </c>
      <c r="I9" s="14" t="s">
        <v>101</v>
      </c>
      <c r="J9" s="12" t="s">
        <v>119</v>
      </c>
      <c r="K9" s="65" t="s">
        <v>107</v>
      </c>
      <c r="L9" s="12"/>
      <c r="M9" s="11" t="s">
        <v>1071</v>
      </c>
      <c r="N9" s="1"/>
      <c r="O9" s="14"/>
      <c r="P9" s="14"/>
      <c r="Q9" s="14" t="s">
        <v>105</v>
      </c>
      <c r="R9" s="14" t="s">
        <v>105</v>
      </c>
      <c r="S9" s="14"/>
      <c r="T9" s="14"/>
      <c r="U9" s="14" t="s">
        <v>105</v>
      </c>
      <c r="V9" s="14" t="s">
        <v>105</v>
      </c>
      <c r="W9" s="14" t="s">
        <v>105</v>
      </c>
      <c r="X9" s="14" t="s">
        <v>105</v>
      </c>
      <c r="Y9" s="14"/>
      <c r="Z9" s="14"/>
      <c r="AA9" s="14"/>
      <c r="AB9" s="14" t="s">
        <v>105</v>
      </c>
      <c r="AC9" s="14" t="s">
        <v>105</v>
      </c>
      <c r="AD9" s="14"/>
      <c r="AE9" s="1"/>
      <c r="AF9" s="1"/>
      <c r="AG9" s="1"/>
      <c r="AH9" s="14" t="s">
        <v>105</v>
      </c>
      <c r="AI9" s="1"/>
      <c r="AJ9" s="61"/>
    </row>
    <row r="10" spans="1:40" s="93" customFormat="1" ht="30">
      <c r="A10" s="177" t="s">
        <v>108</v>
      </c>
      <c r="B10" s="177"/>
      <c r="C10" s="110" t="s">
        <v>97</v>
      </c>
      <c r="D10" s="1" t="s">
        <v>97</v>
      </c>
      <c r="E10" s="120" t="s">
        <v>1072</v>
      </c>
      <c r="F10" s="12" t="s">
        <v>405</v>
      </c>
      <c r="G10" s="68" t="s">
        <v>40</v>
      </c>
      <c r="H10" s="68" t="s">
        <v>964</v>
      </c>
      <c r="I10" s="14" t="s">
        <v>101</v>
      </c>
      <c r="J10" s="12" t="s">
        <v>119</v>
      </c>
      <c r="K10" s="65" t="s">
        <v>107</v>
      </c>
      <c r="L10" s="12"/>
      <c r="M10" s="11" t="s">
        <v>1055</v>
      </c>
      <c r="N10" s="1" t="s">
        <v>105</v>
      </c>
      <c r="O10" s="14"/>
      <c r="P10" s="14"/>
      <c r="Q10" s="14"/>
      <c r="R10" s="14"/>
      <c r="S10" s="14"/>
      <c r="T10" s="14"/>
      <c r="U10" s="14" t="s">
        <v>105</v>
      </c>
      <c r="V10" s="14"/>
      <c r="W10" s="14"/>
      <c r="X10" s="14"/>
      <c r="Y10" s="14"/>
      <c r="Z10" s="14"/>
      <c r="AA10" s="14"/>
      <c r="AB10" s="14"/>
      <c r="AC10" s="14"/>
      <c r="AD10" s="14"/>
      <c r="AE10" s="1"/>
      <c r="AF10" s="1"/>
      <c r="AG10" s="1"/>
      <c r="AH10" s="1"/>
      <c r="AI10" s="1"/>
      <c r="AJ10" s="61"/>
    </row>
    <row r="11" spans="1:40" s="93" customFormat="1" ht="30">
      <c r="A11" s="177" t="s">
        <v>108</v>
      </c>
      <c r="B11" s="177"/>
      <c r="C11" s="110" t="s">
        <v>97</v>
      </c>
      <c r="D11" s="1" t="s">
        <v>97</v>
      </c>
      <c r="E11" s="12" t="s">
        <v>1073</v>
      </c>
      <c r="F11" s="12" t="s">
        <v>1074</v>
      </c>
      <c r="G11" s="65" t="s">
        <v>40</v>
      </c>
      <c r="H11" s="55" t="s">
        <v>964</v>
      </c>
      <c r="I11" s="14" t="s">
        <v>101</v>
      </c>
      <c r="J11" s="65" t="s">
        <v>318</v>
      </c>
      <c r="K11" s="65" t="s">
        <v>107</v>
      </c>
      <c r="L11" s="65" t="s">
        <v>1075</v>
      </c>
      <c r="M11" s="55" t="s">
        <v>362</v>
      </c>
      <c r="N11" s="14" t="s">
        <v>105</v>
      </c>
      <c r="O11" s="1"/>
      <c r="P11" s="1"/>
      <c r="Q11" s="1"/>
      <c r="R11" s="1"/>
      <c r="S11" s="1"/>
      <c r="T11" s="1"/>
      <c r="U11" s="1" t="s">
        <v>105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61"/>
    </row>
    <row r="12" spans="1:40" s="93" customFormat="1" ht="60">
      <c r="A12" s="177" t="s">
        <v>108</v>
      </c>
      <c r="B12" s="177"/>
      <c r="C12" s="110" t="s">
        <v>96</v>
      </c>
      <c r="D12" s="1" t="s">
        <v>97</v>
      </c>
      <c r="E12" s="64" t="s">
        <v>1076</v>
      </c>
      <c r="F12" s="64" t="s">
        <v>1057</v>
      </c>
      <c r="G12" s="65" t="s">
        <v>40</v>
      </c>
      <c r="H12" s="12" t="s">
        <v>964</v>
      </c>
      <c r="I12" s="1" t="s">
        <v>101</v>
      </c>
      <c r="J12" s="65" t="s">
        <v>318</v>
      </c>
      <c r="K12" s="65" t="s">
        <v>107</v>
      </c>
      <c r="L12" s="65" t="s">
        <v>1077</v>
      </c>
      <c r="M12" s="55" t="s">
        <v>1078</v>
      </c>
      <c r="N12" s="14"/>
      <c r="O12" s="31"/>
      <c r="P12" s="31"/>
      <c r="Q12" s="31"/>
      <c r="R12" s="31"/>
      <c r="S12" s="31"/>
      <c r="T12" s="31"/>
      <c r="U12" s="31" t="s">
        <v>105</v>
      </c>
      <c r="V12" s="31" t="s">
        <v>105</v>
      </c>
      <c r="W12" s="31"/>
      <c r="X12" s="31"/>
      <c r="Y12" s="31"/>
      <c r="Z12" s="31"/>
      <c r="AA12" s="31"/>
      <c r="AB12" s="31"/>
      <c r="AC12" s="31"/>
      <c r="AD12" s="31"/>
      <c r="AE12" s="1"/>
      <c r="AF12" s="1"/>
      <c r="AG12" s="1"/>
      <c r="AH12" s="1" t="s">
        <v>105</v>
      </c>
      <c r="AI12" s="31" t="s">
        <v>105</v>
      </c>
      <c r="AJ12" s="61"/>
    </row>
    <row r="13" spans="1:40" s="93" customFormat="1" ht="90">
      <c r="A13" s="177" t="s">
        <v>108</v>
      </c>
      <c r="B13" s="177"/>
      <c r="C13" s="110" t="s">
        <v>97</v>
      </c>
      <c r="D13" s="1" t="s">
        <v>97</v>
      </c>
      <c r="E13" s="64" t="s">
        <v>1079</v>
      </c>
      <c r="F13" s="64" t="s">
        <v>1057</v>
      </c>
      <c r="G13" s="65" t="s">
        <v>40</v>
      </c>
      <c r="H13" s="12" t="s">
        <v>964</v>
      </c>
      <c r="I13" s="1" t="s">
        <v>101</v>
      </c>
      <c r="J13" s="65" t="s">
        <v>318</v>
      </c>
      <c r="K13" s="171" t="s">
        <v>1080</v>
      </c>
      <c r="L13" s="65" t="s">
        <v>1081</v>
      </c>
      <c r="M13" s="66" t="s">
        <v>1082</v>
      </c>
      <c r="N13" s="173"/>
      <c r="O13" s="1"/>
      <c r="P13" s="1"/>
      <c r="Q13" s="1"/>
      <c r="R13" s="31"/>
      <c r="S13" s="1"/>
      <c r="T13" s="1"/>
      <c r="U13" s="31" t="s">
        <v>105</v>
      </c>
      <c r="V13" s="31" t="s">
        <v>105</v>
      </c>
      <c r="W13" s="1"/>
      <c r="X13" s="31"/>
      <c r="Y13" s="1"/>
      <c r="Z13" s="1"/>
      <c r="AA13" s="1"/>
      <c r="AB13" s="1"/>
      <c r="AC13" s="31" t="s">
        <v>105</v>
      </c>
      <c r="AD13" s="1"/>
      <c r="AE13" s="1"/>
      <c r="AF13" s="1"/>
      <c r="AG13" s="1"/>
      <c r="AH13" s="1"/>
      <c r="AI13" s="31"/>
      <c r="AJ13" s="61"/>
    </row>
    <row r="14" spans="1:40" s="93" customFormat="1" ht="90">
      <c r="A14" s="177" t="s">
        <v>108</v>
      </c>
      <c r="B14" s="177"/>
      <c r="C14" s="110" t="s">
        <v>97</v>
      </c>
      <c r="D14" s="1" t="s">
        <v>97</v>
      </c>
      <c r="E14" s="64" t="s">
        <v>1083</v>
      </c>
      <c r="F14" s="64" t="s">
        <v>1057</v>
      </c>
      <c r="G14" s="65" t="s">
        <v>40</v>
      </c>
      <c r="H14" s="12" t="s">
        <v>964</v>
      </c>
      <c r="I14" s="1" t="s">
        <v>101</v>
      </c>
      <c r="J14" s="65" t="s">
        <v>318</v>
      </c>
      <c r="K14" s="171" t="s">
        <v>1080</v>
      </c>
      <c r="L14" s="65" t="s">
        <v>1081</v>
      </c>
      <c r="M14" s="66" t="s">
        <v>1082</v>
      </c>
      <c r="N14" s="173"/>
      <c r="O14" s="1"/>
      <c r="P14" s="1"/>
      <c r="Q14" s="1"/>
      <c r="R14" s="31"/>
      <c r="S14" s="1"/>
      <c r="T14" s="1"/>
      <c r="U14" s="31" t="s">
        <v>105</v>
      </c>
      <c r="V14" s="31" t="s">
        <v>105</v>
      </c>
      <c r="W14" s="1"/>
      <c r="X14" s="31"/>
      <c r="Y14" s="1"/>
      <c r="Z14" s="1"/>
      <c r="AA14" s="1"/>
      <c r="AB14" s="1"/>
      <c r="AC14" s="31" t="s">
        <v>105</v>
      </c>
      <c r="AD14" s="1"/>
      <c r="AE14" s="1"/>
      <c r="AF14" s="1"/>
      <c r="AG14" s="1"/>
      <c r="AH14" s="1"/>
      <c r="AI14" s="31"/>
      <c r="AJ14" s="61"/>
    </row>
    <row r="15" spans="1:40" ht="30">
      <c r="A15" s="177" t="s">
        <v>108</v>
      </c>
      <c r="B15" s="177"/>
      <c r="C15" s="110" t="s">
        <v>97</v>
      </c>
      <c r="D15" s="1" t="s">
        <v>96</v>
      </c>
      <c r="E15" s="12" t="s">
        <v>1084</v>
      </c>
      <c r="F15" s="12" t="s">
        <v>1085</v>
      </c>
      <c r="G15" s="65" t="s">
        <v>40</v>
      </c>
      <c r="H15" s="55" t="s">
        <v>964</v>
      </c>
      <c r="I15" s="14" t="s">
        <v>101</v>
      </c>
      <c r="J15" s="65" t="s">
        <v>318</v>
      </c>
      <c r="K15" s="65" t="s">
        <v>107</v>
      </c>
      <c r="L15" s="65" t="s">
        <v>1086</v>
      </c>
      <c r="M15" s="55" t="s">
        <v>1087</v>
      </c>
      <c r="N15" s="14"/>
      <c r="O15" s="1"/>
      <c r="P15" s="1" t="s">
        <v>105</v>
      </c>
      <c r="Q15" s="1"/>
      <c r="R15" s="1"/>
      <c r="S15" s="1"/>
      <c r="T15" s="1"/>
      <c r="U15" s="1" t="s">
        <v>105</v>
      </c>
      <c r="V15" s="1" t="s">
        <v>105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61"/>
    </row>
    <row r="16" spans="1:40" ht="75">
      <c r="A16" s="177" t="s">
        <v>108</v>
      </c>
      <c r="B16" s="177"/>
      <c r="C16" s="110" t="s">
        <v>97</v>
      </c>
      <c r="D16" s="1" t="s">
        <v>97</v>
      </c>
      <c r="E16" s="67" t="s">
        <v>1088</v>
      </c>
      <c r="F16" s="64" t="s">
        <v>1057</v>
      </c>
      <c r="G16" s="65" t="s">
        <v>40</v>
      </c>
      <c r="H16" s="12" t="s">
        <v>964</v>
      </c>
      <c r="I16" s="1" t="s">
        <v>101</v>
      </c>
      <c r="J16" s="65" t="s">
        <v>318</v>
      </c>
      <c r="K16" s="65" t="s">
        <v>107</v>
      </c>
      <c r="L16" s="65" t="s">
        <v>1089</v>
      </c>
      <c r="M16" s="66" t="s">
        <v>1090</v>
      </c>
      <c r="N16" s="173"/>
      <c r="O16" s="1"/>
      <c r="P16" s="1"/>
      <c r="Q16" s="1"/>
      <c r="R16" s="31"/>
      <c r="S16" s="1"/>
      <c r="T16" s="1"/>
      <c r="U16" s="31" t="s">
        <v>105</v>
      </c>
      <c r="V16" s="31" t="s">
        <v>105</v>
      </c>
      <c r="W16" s="1"/>
      <c r="X16" s="31"/>
      <c r="Y16" s="1"/>
      <c r="Z16" s="1"/>
      <c r="AA16" s="1"/>
      <c r="AB16" s="1"/>
      <c r="AC16" s="31"/>
      <c r="AD16" s="1"/>
      <c r="AE16" s="1"/>
      <c r="AF16" s="1"/>
      <c r="AG16" s="1"/>
      <c r="AH16" s="1"/>
      <c r="AI16" s="31"/>
      <c r="AJ16" s="61"/>
    </row>
    <row r="17" spans="1:36" s="93" customFormat="1" ht="30">
      <c r="A17" s="177" t="s">
        <v>108</v>
      </c>
      <c r="B17" s="177"/>
      <c r="C17" s="110" t="s">
        <v>97</v>
      </c>
      <c r="D17" s="1" t="s">
        <v>96</v>
      </c>
      <c r="E17" s="64" t="s">
        <v>1091</v>
      </c>
      <c r="F17" s="64" t="s">
        <v>1054</v>
      </c>
      <c r="G17" s="65" t="s">
        <v>40</v>
      </c>
      <c r="H17" s="12" t="s">
        <v>964</v>
      </c>
      <c r="I17" s="1" t="s">
        <v>101</v>
      </c>
      <c r="J17" s="65" t="s">
        <v>318</v>
      </c>
      <c r="K17" s="171" t="s">
        <v>1080</v>
      </c>
      <c r="L17" s="65" t="s">
        <v>1092</v>
      </c>
      <c r="M17" s="64" t="s">
        <v>1093</v>
      </c>
      <c r="N17" s="31"/>
      <c r="O17" s="1"/>
      <c r="P17" s="1"/>
      <c r="Q17" s="1"/>
      <c r="R17" s="31"/>
      <c r="S17" s="1"/>
      <c r="T17" s="1"/>
      <c r="U17" s="31"/>
      <c r="V17" s="31"/>
      <c r="W17" s="1"/>
      <c r="X17" s="31"/>
      <c r="Y17" s="1"/>
      <c r="Z17" s="1"/>
      <c r="AA17" s="1"/>
      <c r="AB17" s="1"/>
      <c r="AC17" s="31"/>
      <c r="AD17" s="1"/>
      <c r="AE17" s="1"/>
      <c r="AF17" s="1"/>
      <c r="AG17" s="1"/>
      <c r="AH17" s="1"/>
      <c r="AI17" s="31"/>
      <c r="AJ17" s="61"/>
    </row>
    <row r="18" spans="1:36" s="93" customFormat="1" ht="30">
      <c r="A18" s="177" t="s">
        <v>108</v>
      </c>
      <c r="B18" s="177"/>
      <c r="C18" s="110" t="s">
        <v>97</v>
      </c>
      <c r="D18" s="1" t="s">
        <v>97</v>
      </c>
      <c r="E18" s="64" t="s">
        <v>1094</v>
      </c>
      <c r="F18" s="64" t="s">
        <v>1054</v>
      </c>
      <c r="G18" s="65" t="s">
        <v>40</v>
      </c>
      <c r="H18" s="12" t="s">
        <v>964</v>
      </c>
      <c r="I18" s="1" t="s">
        <v>101</v>
      </c>
      <c r="J18" s="65" t="s">
        <v>318</v>
      </c>
      <c r="K18" s="171" t="s">
        <v>1080</v>
      </c>
      <c r="L18" s="65" t="s">
        <v>1092</v>
      </c>
      <c r="M18" s="64" t="s">
        <v>1093</v>
      </c>
      <c r="N18" s="31"/>
      <c r="O18" s="1"/>
      <c r="P18" s="1"/>
      <c r="Q18" s="1"/>
      <c r="R18" s="31"/>
      <c r="S18" s="1"/>
      <c r="T18" s="1"/>
      <c r="U18" s="31"/>
      <c r="V18" s="31"/>
      <c r="W18" s="1"/>
      <c r="X18" s="31"/>
      <c r="Y18" s="1"/>
      <c r="Z18" s="1"/>
      <c r="AA18" s="1"/>
      <c r="AB18" s="1"/>
      <c r="AC18" s="31"/>
      <c r="AD18" s="1"/>
      <c r="AE18" s="1"/>
      <c r="AF18" s="1"/>
      <c r="AG18" s="1"/>
      <c r="AH18" s="1"/>
      <c r="AI18" s="31"/>
      <c r="AJ18" s="61"/>
    </row>
    <row r="19" spans="1:36" s="93" customFormat="1" ht="30">
      <c r="A19" s="177" t="s">
        <v>95</v>
      </c>
      <c r="B19" s="177"/>
      <c r="C19" s="110" t="s">
        <v>97</v>
      </c>
      <c r="D19" s="1" t="s">
        <v>97</v>
      </c>
      <c r="E19" s="12" t="s">
        <v>1095</v>
      </c>
      <c r="F19" s="64" t="s">
        <v>1096</v>
      </c>
      <c r="G19" s="65" t="s">
        <v>40</v>
      </c>
      <c r="H19" s="55" t="s">
        <v>964</v>
      </c>
      <c r="I19" s="14" t="s">
        <v>101</v>
      </c>
      <c r="J19" s="65" t="s">
        <v>318</v>
      </c>
      <c r="K19" s="65" t="s">
        <v>107</v>
      </c>
      <c r="L19" s="65"/>
      <c r="M19" s="55" t="s">
        <v>121</v>
      </c>
      <c r="N19" s="14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1"/>
      <c r="AF19" s="1"/>
      <c r="AG19" s="1"/>
      <c r="AH19" s="1"/>
      <c r="AI19" s="1"/>
      <c r="AJ19" s="61"/>
    </row>
    <row r="20" spans="1:36" s="93" customFormat="1" ht="30">
      <c r="A20" s="177" t="s">
        <v>95</v>
      </c>
      <c r="B20" s="177"/>
      <c r="C20" s="110" t="s">
        <v>97</v>
      </c>
      <c r="D20" s="1" t="s">
        <v>97</v>
      </c>
      <c r="E20" s="12" t="s">
        <v>1097</v>
      </c>
      <c r="F20" s="12" t="s">
        <v>1074</v>
      </c>
      <c r="G20" s="65" t="s">
        <v>40</v>
      </c>
      <c r="H20" s="12" t="s">
        <v>964</v>
      </c>
      <c r="I20" s="14" t="s">
        <v>101</v>
      </c>
      <c r="J20" s="65" t="s">
        <v>318</v>
      </c>
      <c r="K20" s="65" t="s">
        <v>107</v>
      </c>
      <c r="L20" s="65"/>
      <c r="M20" s="55" t="s">
        <v>1098</v>
      </c>
      <c r="N20" s="14"/>
      <c r="O20" s="1"/>
      <c r="P20" s="1" t="s">
        <v>105</v>
      </c>
      <c r="Q20" s="1"/>
      <c r="R20" s="1"/>
      <c r="S20" s="1"/>
      <c r="T20" s="1"/>
      <c r="U20" s="1" t="s">
        <v>105</v>
      </c>
      <c r="V20" s="1" t="s">
        <v>105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61"/>
    </row>
    <row r="21" spans="1:36" s="93" customFormat="1" ht="30">
      <c r="A21" s="177" t="s">
        <v>108</v>
      </c>
      <c r="B21" s="177"/>
      <c r="C21" s="110" t="s">
        <v>97</v>
      </c>
      <c r="D21" s="1" t="s">
        <v>97</v>
      </c>
      <c r="E21" s="64" t="s">
        <v>1099</v>
      </c>
      <c r="F21" s="64" t="s">
        <v>1057</v>
      </c>
      <c r="G21" s="65" t="s">
        <v>40</v>
      </c>
      <c r="H21" s="12" t="s">
        <v>964</v>
      </c>
      <c r="I21" s="1" t="s">
        <v>101</v>
      </c>
      <c r="J21" s="65" t="s">
        <v>318</v>
      </c>
      <c r="K21" s="65" t="s">
        <v>107</v>
      </c>
      <c r="L21" s="65"/>
      <c r="M21" s="64" t="s">
        <v>1055</v>
      </c>
      <c r="N21" s="31"/>
      <c r="O21" s="1"/>
      <c r="P21" s="1"/>
      <c r="Q21" s="1"/>
      <c r="R21" s="31"/>
      <c r="S21" s="1"/>
      <c r="T21" s="1"/>
      <c r="U21" s="31" t="s">
        <v>105</v>
      </c>
      <c r="V21" s="31"/>
      <c r="W21" s="1"/>
      <c r="X21" s="31"/>
      <c r="Y21" s="1"/>
      <c r="Z21" s="1"/>
      <c r="AA21" s="1"/>
      <c r="AB21" s="1"/>
      <c r="AC21" s="31"/>
      <c r="AD21" s="1"/>
      <c r="AE21" s="1"/>
      <c r="AF21" s="1"/>
      <c r="AG21" s="1"/>
      <c r="AH21" s="1"/>
      <c r="AI21" s="31"/>
      <c r="AJ21" s="61"/>
    </row>
    <row r="22" spans="1:36" ht="30">
      <c r="A22" s="177" t="s">
        <v>95</v>
      </c>
      <c r="B22" s="177"/>
      <c r="C22" s="111" t="s">
        <v>97</v>
      </c>
      <c r="D22" s="108" t="s">
        <v>97</v>
      </c>
      <c r="E22" s="119" t="s">
        <v>1100</v>
      </c>
      <c r="F22" s="27"/>
      <c r="G22" s="27"/>
      <c r="H22" s="76"/>
      <c r="I22" s="122"/>
      <c r="J22" s="12" t="s">
        <v>119</v>
      </c>
      <c r="K22" s="65" t="s">
        <v>107</v>
      </c>
      <c r="L22" s="27" t="s">
        <v>1075</v>
      </c>
      <c r="M22" s="35" t="s">
        <v>1101</v>
      </c>
      <c r="N22" s="28"/>
      <c r="O22" s="28"/>
      <c r="P22" s="28"/>
      <c r="Q22" s="28"/>
      <c r="R22" s="28"/>
      <c r="S22" s="28"/>
      <c r="T22" s="28"/>
      <c r="U22" s="28" t="s">
        <v>105</v>
      </c>
      <c r="V22" s="28" t="s">
        <v>105</v>
      </c>
      <c r="W22" s="28" t="s">
        <v>105</v>
      </c>
      <c r="X22" s="28"/>
      <c r="Y22" s="28"/>
      <c r="Z22" s="28"/>
      <c r="AA22" s="28"/>
      <c r="AB22" s="28" t="s">
        <v>105</v>
      </c>
      <c r="AC22" s="28"/>
      <c r="AD22" s="28"/>
      <c r="AE22" s="28" t="s">
        <v>105</v>
      </c>
      <c r="AF22" s="28" t="s">
        <v>105</v>
      </c>
      <c r="AG22" s="28"/>
      <c r="AH22" s="28"/>
      <c r="AI22" s="28"/>
      <c r="AJ22" s="60"/>
    </row>
    <row r="23" spans="1:36">
      <c r="A23" s="108" t="s">
        <v>95</v>
      </c>
      <c r="B23" s="108"/>
      <c r="C23" s="111" t="s">
        <v>97</v>
      </c>
      <c r="D23" s="108" t="s">
        <v>97</v>
      </c>
      <c r="E23" s="119" t="s">
        <v>1102</v>
      </c>
      <c r="F23" s="27"/>
      <c r="G23" s="27"/>
      <c r="H23" s="76"/>
      <c r="I23" s="122"/>
      <c r="J23" s="12" t="s">
        <v>119</v>
      </c>
      <c r="K23" s="27" t="s">
        <v>107</v>
      </c>
      <c r="L23" s="27" t="s">
        <v>1075</v>
      </c>
      <c r="M23" s="35" t="s">
        <v>1103</v>
      </c>
      <c r="N23" s="28"/>
      <c r="O23" s="28"/>
      <c r="P23" s="28"/>
      <c r="Q23" s="28"/>
      <c r="R23" s="28"/>
      <c r="S23" s="28"/>
      <c r="T23" s="28"/>
      <c r="U23" s="28" t="s">
        <v>105</v>
      </c>
      <c r="V23" s="28" t="s">
        <v>105</v>
      </c>
      <c r="W23" s="28" t="s">
        <v>105</v>
      </c>
      <c r="X23" s="28"/>
      <c r="Y23" s="28"/>
      <c r="Z23" s="28"/>
      <c r="AA23" s="28"/>
      <c r="AB23" s="28" t="s">
        <v>105</v>
      </c>
      <c r="AC23" s="28"/>
      <c r="AD23" s="28"/>
      <c r="AE23" s="28"/>
      <c r="AF23" s="28" t="s">
        <v>105</v>
      </c>
      <c r="AG23" s="28"/>
      <c r="AH23" s="28"/>
      <c r="AI23" s="28"/>
      <c r="AJ23" s="60"/>
    </row>
    <row r="24" spans="1:36" ht="30">
      <c r="A24" s="303"/>
      <c r="B24" s="303"/>
      <c r="C24" s="304" t="s">
        <v>97</v>
      </c>
      <c r="D24" s="303" t="s">
        <v>97</v>
      </c>
      <c r="E24" s="312" t="s">
        <v>1108</v>
      </c>
      <c r="F24" s="312" t="s">
        <v>1109</v>
      </c>
      <c r="G24" s="305" t="s">
        <v>40</v>
      </c>
      <c r="H24" s="306" t="s">
        <v>11</v>
      </c>
      <c r="I24" s="308" t="s">
        <v>101</v>
      </c>
      <c r="J24" s="307" t="s">
        <v>705</v>
      </c>
      <c r="K24" s="307" t="s">
        <v>107</v>
      </c>
      <c r="L24" s="307" t="s">
        <v>1110</v>
      </c>
      <c r="M24" s="309" t="s">
        <v>1111</v>
      </c>
      <c r="N24" s="28"/>
      <c r="O24" s="310"/>
      <c r="P24" s="310"/>
      <c r="Q24" s="310"/>
      <c r="R24" s="310"/>
      <c r="S24" s="310"/>
      <c r="T24" s="310"/>
      <c r="U24" s="310"/>
      <c r="V24" s="310"/>
      <c r="W24" s="310"/>
      <c r="X24" s="310"/>
      <c r="Y24" s="310"/>
      <c r="Z24" s="310"/>
      <c r="AA24" s="310"/>
      <c r="AB24" s="310"/>
      <c r="AC24" s="310"/>
      <c r="AD24" s="310"/>
      <c r="AE24" s="310"/>
      <c r="AF24" s="310"/>
      <c r="AG24" s="310"/>
      <c r="AH24" s="310"/>
      <c r="AI24" s="310"/>
      <c r="AJ24" s="311"/>
    </row>
  </sheetData>
  <phoneticPr fontId="29" type="noConversion"/>
  <conditionalFormatting sqref="C39:C43 C47:C1048576 AN2:AN4 C25 E2:E23 G24">
    <cfRule type="duplicateValues" dxfId="19" priority="10"/>
  </conditionalFormatting>
  <conditionalFormatting sqref="C39:C43 C47:C1048576 AN2:AN4 C25 L5 E2:E23 G24">
    <cfRule type="duplicateValues" dxfId="18" priority="7"/>
  </conditionalFormatting>
  <conditionalFormatting sqref="E24">
    <cfRule type="duplicateValues" dxfId="17" priority="1"/>
  </conditionalFormatting>
  <pageMargins left="0.7" right="0.7" top="0.75" bottom="0.75" header="0.3" footer="0.3"/>
  <pageSetup paperSize="9" orientation="portrait" r:id="rId1"/>
  <headerFooter>
    <oddFooter>&amp;C_x000D_&amp;1#&amp;"Calibri"&amp;6&amp;K626469 General</oddFooter>
  </headerFooter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5EA6C-B428-40B8-9F3D-7F21C30FEAA7}">
  <dimension ref="A1:AK27"/>
  <sheetViews>
    <sheetView tabSelected="1" zoomScaleNormal="100" workbookViewId="0">
      <pane ySplit="2" topLeftCell="A10" activePane="bottomLeft" state="frozen"/>
      <selection pane="bottomLeft" activeCell="C20" sqref="C20"/>
    </sheetView>
  </sheetViews>
  <sheetFormatPr baseColWidth="10" defaultColWidth="8.5703125" defaultRowHeight="15"/>
  <cols>
    <col min="1" max="1" width="13.42578125" style="301" customWidth="1"/>
    <col min="2" max="3" width="14" style="301" customWidth="1"/>
    <col min="4" max="4" width="11.28515625" style="301" bestFit="1" customWidth="1"/>
    <col min="5" max="5" width="46.28515625" style="89" bestFit="1" customWidth="1"/>
    <col min="6" max="6" width="35.42578125" style="106" bestFit="1" customWidth="1"/>
    <col min="7" max="7" width="32.42578125" style="106" customWidth="1"/>
    <col min="8" max="8" width="18.85546875" style="106" bestFit="1" customWidth="1"/>
    <col min="9" max="9" width="9.42578125" style="301" bestFit="1" customWidth="1"/>
    <col min="10" max="10" width="27.42578125" style="89" bestFit="1" customWidth="1"/>
    <col min="11" max="11" width="23" style="89" bestFit="1" customWidth="1"/>
    <col min="12" max="12" width="29" style="106" bestFit="1" customWidth="1"/>
    <col min="13" max="13" width="66.42578125" style="89" customWidth="1"/>
    <col min="14" max="14" width="9.42578125" style="106" bestFit="1" customWidth="1"/>
    <col min="15" max="15" width="5.85546875" style="106" bestFit="1" customWidth="1"/>
    <col min="16" max="16" width="6.42578125" style="106" bestFit="1" customWidth="1"/>
    <col min="17" max="17" width="13.5703125" style="301" bestFit="1" customWidth="1"/>
    <col min="18" max="18" width="6.5703125" style="301" bestFit="1" customWidth="1"/>
    <col min="19" max="19" width="10.5703125" style="301" bestFit="1" customWidth="1"/>
    <col min="20" max="20" width="12.42578125" style="301" bestFit="1" customWidth="1"/>
    <col min="21" max="21" width="15.5703125" style="301" bestFit="1" customWidth="1"/>
    <col min="22" max="22" width="9.85546875" style="301" bestFit="1" customWidth="1"/>
    <col min="23" max="23" width="10.5703125" style="301" bestFit="1" customWidth="1"/>
    <col min="24" max="24" width="14.42578125" style="301" bestFit="1" customWidth="1"/>
    <col min="25" max="25" width="11" style="301" bestFit="1" customWidth="1"/>
    <col min="26" max="26" width="10.140625" style="301" bestFit="1" customWidth="1"/>
    <col min="27" max="27" width="9.42578125" style="301" bestFit="1" customWidth="1"/>
    <col min="28" max="28" width="10.42578125" style="301" bestFit="1" customWidth="1"/>
    <col min="29" max="30" width="9.42578125" style="301" bestFit="1" customWidth="1"/>
    <col min="31" max="31" width="16" style="301" bestFit="1" customWidth="1"/>
    <col min="32" max="32" width="16.42578125" style="301" bestFit="1" customWidth="1"/>
    <col min="33" max="33" width="10.42578125" style="301" bestFit="1" customWidth="1"/>
    <col min="34" max="34" width="11.42578125" style="93" bestFit="1" customWidth="1"/>
    <col min="35" max="35" width="10.42578125" style="9" bestFit="1" customWidth="1"/>
    <col min="36" max="36" width="8.5703125" style="9"/>
    <col min="37" max="37" width="13.42578125" style="9" bestFit="1" customWidth="1"/>
    <col min="38" max="16384" width="8.5703125" style="9"/>
  </cols>
  <sheetData>
    <row r="1" spans="1:37">
      <c r="A1" s="301">
        <f>COUNTIF(Table54810[Seen on BS],"Yes")</f>
        <v>3</v>
      </c>
      <c r="B1" s="301">
        <f>COUNTIF(Table54810[Fingerprints available],"Yes")</f>
        <v>7</v>
      </c>
      <c r="E1" s="301">
        <f>COUNTA(Table54810[Product range])</f>
        <v>24</v>
      </c>
    </row>
    <row r="2" spans="1:37" ht="30">
      <c r="A2" s="103" t="s">
        <v>33</v>
      </c>
      <c r="B2" s="123" t="s">
        <v>64</v>
      </c>
      <c r="C2" s="123" t="s">
        <v>662</v>
      </c>
      <c r="D2" s="123" t="s">
        <v>1331</v>
      </c>
      <c r="E2" s="123" t="s">
        <v>304</v>
      </c>
      <c r="F2" s="123" t="s">
        <v>66</v>
      </c>
      <c r="G2" s="123" t="s">
        <v>29</v>
      </c>
      <c r="H2" s="123" t="s">
        <v>28</v>
      </c>
      <c r="I2" s="123" t="s">
        <v>67</v>
      </c>
      <c r="J2" s="123" t="s">
        <v>664</v>
      </c>
      <c r="K2" s="123" t="s">
        <v>69</v>
      </c>
      <c r="L2" s="123" t="s">
        <v>70</v>
      </c>
      <c r="M2" s="123" t="s">
        <v>71</v>
      </c>
      <c r="N2" s="124" t="s">
        <v>72</v>
      </c>
      <c r="O2" s="124" t="s">
        <v>73</v>
      </c>
      <c r="P2" s="124" t="s">
        <v>74</v>
      </c>
      <c r="Q2" s="124" t="s">
        <v>75</v>
      </c>
      <c r="R2" s="124" t="s">
        <v>76</v>
      </c>
      <c r="S2" s="123" t="s">
        <v>77</v>
      </c>
      <c r="T2" s="123" t="s">
        <v>78</v>
      </c>
      <c r="U2" s="123" t="s">
        <v>79</v>
      </c>
      <c r="V2" s="123" t="s">
        <v>80</v>
      </c>
      <c r="W2" s="123" t="s">
        <v>81</v>
      </c>
      <c r="X2" s="123" t="s">
        <v>82</v>
      </c>
      <c r="Y2" s="123" t="s">
        <v>83</v>
      </c>
      <c r="Z2" s="123" t="s">
        <v>84</v>
      </c>
      <c r="AA2" s="123" t="s">
        <v>85</v>
      </c>
      <c r="AB2" s="123" t="s">
        <v>86</v>
      </c>
      <c r="AC2" s="123" t="s">
        <v>87</v>
      </c>
      <c r="AD2" s="123" t="s">
        <v>88</v>
      </c>
      <c r="AE2" s="123" t="s">
        <v>89</v>
      </c>
      <c r="AF2" s="123" t="s">
        <v>90</v>
      </c>
      <c r="AG2" s="123" t="s">
        <v>91</v>
      </c>
      <c r="AH2" s="123" t="s">
        <v>92</v>
      </c>
      <c r="AI2" s="125" t="s">
        <v>93</v>
      </c>
      <c r="AK2" s="9" t="s">
        <v>665</v>
      </c>
    </row>
    <row r="3" spans="1:37">
      <c r="A3" s="14" t="s">
        <v>97</v>
      </c>
      <c r="B3" s="59" t="s">
        <v>97</v>
      </c>
      <c r="C3" s="31" t="s">
        <v>685</v>
      </c>
      <c r="D3" s="31" t="s">
        <v>1332</v>
      </c>
      <c r="E3" s="13" t="s">
        <v>686</v>
      </c>
      <c r="F3" s="13" t="s">
        <v>687</v>
      </c>
      <c r="G3" s="12" t="s">
        <v>673</v>
      </c>
      <c r="H3" s="55" t="s">
        <v>14</v>
      </c>
      <c r="I3" s="14" t="s">
        <v>101</v>
      </c>
      <c r="J3" s="12" t="s">
        <v>103</v>
      </c>
      <c r="K3" s="12" t="s">
        <v>107</v>
      </c>
      <c r="L3" s="12"/>
      <c r="M3" s="65" t="s">
        <v>676</v>
      </c>
      <c r="N3" s="55"/>
      <c r="O3" s="55"/>
      <c r="P3" s="55"/>
      <c r="Q3" s="55"/>
      <c r="R3" s="55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61"/>
      <c r="AK3" s="9" t="s">
        <v>685</v>
      </c>
    </row>
    <row r="4" spans="1:37" ht="30">
      <c r="A4" s="14" t="s">
        <v>97</v>
      </c>
      <c r="B4" s="229" t="s">
        <v>96</v>
      </c>
      <c r="C4" s="31" t="s">
        <v>685</v>
      </c>
      <c r="D4" s="31" t="s">
        <v>849</v>
      </c>
      <c r="E4" s="12" t="s">
        <v>688</v>
      </c>
      <c r="F4" s="12" t="s">
        <v>684</v>
      </c>
      <c r="G4" s="12" t="s">
        <v>14</v>
      </c>
      <c r="H4" s="55" t="s">
        <v>11</v>
      </c>
      <c r="I4" s="14" t="s">
        <v>101</v>
      </c>
      <c r="J4" s="12" t="s">
        <v>112</v>
      </c>
      <c r="K4" s="12" t="s">
        <v>107</v>
      </c>
      <c r="L4" s="12"/>
      <c r="M4" s="65" t="s">
        <v>689</v>
      </c>
      <c r="N4" s="55"/>
      <c r="O4" s="1"/>
      <c r="P4" s="1"/>
      <c r="Q4" s="1"/>
      <c r="R4" s="1"/>
      <c r="S4" s="1"/>
      <c r="T4" s="1" t="s">
        <v>105</v>
      </c>
      <c r="U4" s="1" t="s">
        <v>105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61"/>
      <c r="AK4" s="9" t="s">
        <v>685</v>
      </c>
    </row>
    <row r="5" spans="1:37" ht="30">
      <c r="A5" s="14" t="s">
        <v>97</v>
      </c>
      <c r="B5" s="229" t="s">
        <v>97</v>
      </c>
      <c r="C5" s="338" t="s">
        <v>685</v>
      </c>
      <c r="D5" s="338" t="s">
        <v>1332</v>
      </c>
      <c r="E5" s="339" t="s">
        <v>1349</v>
      </c>
      <c r="F5" s="12" t="s">
        <v>668</v>
      </c>
      <c r="G5" s="12" t="s">
        <v>14</v>
      </c>
      <c r="H5" s="55" t="s">
        <v>11</v>
      </c>
      <c r="I5" s="1" t="s">
        <v>101</v>
      </c>
      <c r="J5" s="12" t="s">
        <v>112</v>
      </c>
      <c r="K5" s="12" t="s">
        <v>107</v>
      </c>
      <c r="L5" s="55" t="s">
        <v>695</v>
      </c>
      <c r="M5" s="65" t="s">
        <v>676</v>
      </c>
      <c r="N5" s="55"/>
      <c r="O5" s="55"/>
      <c r="P5" s="55"/>
      <c r="Q5" s="55"/>
      <c r="R5" s="55"/>
      <c r="S5" s="14"/>
      <c r="T5" s="14"/>
      <c r="U5" s="14"/>
      <c r="V5" s="14"/>
      <c r="W5" s="14"/>
      <c r="X5" s="14"/>
      <c r="Y5" s="14"/>
      <c r="Z5" s="14"/>
      <c r="AA5" s="14" t="s">
        <v>105</v>
      </c>
      <c r="AB5" s="14"/>
      <c r="AC5" s="14"/>
      <c r="AD5" s="14"/>
      <c r="AE5" s="14"/>
      <c r="AF5" s="14"/>
      <c r="AG5" s="14"/>
      <c r="AH5" s="14"/>
      <c r="AI5" s="61"/>
      <c r="AK5" s="9" t="s">
        <v>685</v>
      </c>
    </row>
    <row r="6" spans="1:37">
      <c r="A6" s="14" t="s">
        <v>96</v>
      </c>
      <c r="B6" s="231" t="s">
        <v>97</v>
      </c>
      <c r="C6" s="167" t="s">
        <v>662</v>
      </c>
      <c r="D6" s="167" t="s">
        <v>1332</v>
      </c>
      <c r="E6" s="339" t="s">
        <v>835</v>
      </c>
      <c r="F6" s="12"/>
      <c r="G6" s="55"/>
      <c r="H6" s="55"/>
      <c r="I6" s="14"/>
      <c r="J6" s="12"/>
      <c r="K6" s="12"/>
      <c r="L6" s="12"/>
      <c r="M6" s="12"/>
      <c r="N6" s="55"/>
      <c r="O6" s="55"/>
      <c r="P6" s="55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"/>
      <c r="AI6" s="61"/>
      <c r="AK6" s="327"/>
    </row>
    <row r="7" spans="1:37" ht="30">
      <c r="A7" s="14" t="s">
        <v>97</v>
      </c>
      <c r="B7" s="229" t="s">
        <v>96</v>
      </c>
      <c r="C7" s="31" t="s">
        <v>685</v>
      </c>
      <c r="D7" s="31" t="s">
        <v>1332</v>
      </c>
      <c r="E7" s="12" t="s">
        <v>700</v>
      </c>
      <c r="F7" s="12" t="s">
        <v>672</v>
      </c>
      <c r="G7" s="12" t="s">
        <v>14</v>
      </c>
      <c r="H7" s="55" t="s">
        <v>11</v>
      </c>
      <c r="I7" s="14" t="s">
        <v>101</v>
      </c>
      <c r="J7" s="12" t="s">
        <v>112</v>
      </c>
      <c r="K7" s="12" t="s">
        <v>107</v>
      </c>
      <c r="L7" s="12"/>
      <c r="M7" s="12" t="s">
        <v>701</v>
      </c>
      <c r="N7" s="12"/>
      <c r="O7" s="1"/>
      <c r="P7" s="1"/>
      <c r="Q7" s="1"/>
      <c r="R7" s="1"/>
      <c r="S7" s="1"/>
      <c r="T7" s="1" t="s">
        <v>105</v>
      </c>
      <c r="U7" s="1" t="s">
        <v>122</v>
      </c>
      <c r="V7" s="1"/>
      <c r="W7" s="1" t="s">
        <v>105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61"/>
      <c r="AK7" s="9" t="s">
        <v>685</v>
      </c>
    </row>
    <row r="8" spans="1:37" ht="30">
      <c r="A8" s="14" t="s">
        <v>97</v>
      </c>
      <c r="B8" s="229" t="s">
        <v>96</v>
      </c>
      <c r="C8" s="31" t="s">
        <v>702</v>
      </c>
      <c r="D8" s="31" t="s">
        <v>1333</v>
      </c>
      <c r="E8" s="12" t="s">
        <v>1352</v>
      </c>
      <c r="F8" s="12" t="s">
        <v>672</v>
      </c>
      <c r="G8" s="12" t="s">
        <v>14</v>
      </c>
      <c r="H8" s="55" t="s">
        <v>11</v>
      </c>
      <c r="I8" s="14" t="s">
        <v>101</v>
      </c>
      <c r="J8" s="12" t="s">
        <v>112</v>
      </c>
      <c r="K8" s="12" t="s">
        <v>107</v>
      </c>
      <c r="L8" s="12"/>
      <c r="M8" s="65" t="s">
        <v>704</v>
      </c>
      <c r="N8" s="55" t="s">
        <v>105</v>
      </c>
      <c r="O8" s="1"/>
      <c r="P8" s="1"/>
      <c r="Q8" s="1"/>
      <c r="R8" s="1"/>
      <c r="S8" s="1"/>
      <c r="T8" s="1" t="s">
        <v>105</v>
      </c>
      <c r="U8" s="1" t="s">
        <v>705</v>
      </c>
      <c r="V8" s="1"/>
      <c r="W8" s="1" t="s">
        <v>105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61"/>
      <c r="AK8" s="9" t="s">
        <v>685</v>
      </c>
    </row>
    <row r="9" spans="1:37" ht="30">
      <c r="A9" s="14" t="s">
        <v>97</v>
      </c>
      <c r="B9" s="229" t="s">
        <v>97</v>
      </c>
      <c r="C9" s="31" t="s">
        <v>685</v>
      </c>
      <c r="D9" s="31" t="s">
        <v>1332</v>
      </c>
      <c r="E9" s="12" t="s">
        <v>1334</v>
      </c>
      <c r="F9" s="13" t="s">
        <v>672</v>
      </c>
      <c r="G9" s="12" t="s">
        <v>14</v>
      </c>
      <c r="H9" s="55" t="s">
        <v>11</v>
      </c>
      <c r="I9" s="1" t="s">
        <v>101</v>
      </c>
      <c r="J9" s="12" t="s">
        <v>112</v>
      </c>
      <c r="K9" s="12" t="s">
        <v>107</v>
      </c>
      <c r="L9" s="12"/>
      <c r="M9" s="12" t="s">
        <v>716</v>
      </c>
      <c r="N9" s="55"/>
      <c r="O9" s="55"/>
      <c r="P9" s="55"/>
      <c r="Q9" s="55"/>
      <c r="R9" s="55"/>
      <c r="S9" s="14"/>
      <c r="T9" s="14" t="s">
        <v>122</v>
      </c>
      <c r="U9" s="14" t="s">
        <v>122</v>
      </c>
      <c r="V9" s="14"/>
      <c r="W9" s="14" t="s">
        <v>105</v>
      </c>
      <c r="X9" s="14"/>
      <c r="Y9" s="14"/>
      <c r="Z9" s="14"/>
      <c r="AA9" s="14" t="s">
        <v>105</v>
      </c>
      <c r="AB9" s="14"/>
      <c r="AC9" s="14"/>
      <c r="AD9" s="14"/>
      <c r="AE9" s="14"/>
      <c r="AF9" s="14"/>
      <c r="AG9" s="14"/>
      <c r="AH9" s="14"/>
      <c r="AI9" s="1"/>
      <c r="AK9" s="9" t="s">
        <v>685</v>
      </c>
    </row>
    <row r="10" spans="1:37" ht="30">
      <c r="A10" s="14" t="s">
        <v>97</v>
      </c>
      <c r="B10" s="59" t="s">
        <v>97</v>
      </c>
      <c r="C10" s="167" t="s">
        <v>728</v>
      </c>
      <c r="D10" s="1" t="s">
        <v>147</v>
      </c>
      <c r="E10" s="13" t="s">
        <v>730</v>
      </c>
      <c r="F10" s="13" t="s">
        <v>731</v>
      </c>
      <c r="G10" s="12" t="s">
        <v>14</v>
      </c>
      <c r="H10" s="55" t="s">
        <v>11</v>
      </c>
      <c r="I10" s="14" t="s">
        <v>145</v>
      </c>
      <c r="J10" s="12" t="s">
        <v>151</v>
      </c>
      <c r="K10" s="12" t="s">
        <v>107</v>
      </c>
      <c r="L10" s="12"/>
      <c r="M10" s="12" t="s">
        <v>147</v>
      </c>
      <c r="N10" s="55"/>
      <c r="O10" s="55"/>
      <c r="P10" s="55"/>
      <c r="Q10" s="55"/>
      <c r="R10" s="55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61"/>
      <c r="AK10" s="9" t="s">
        <v>685</v>
      </c>
    </row>
    <row r="11" spans="1:37" ht="30">
      <c r="A11" s="14" t="s">
        <v>97</v>
      </c>
      <c r="B11" s="59" t="s">
        <v>97</v>
      </c>
      <c r="C11" s="1" t="s">
        <v>728</v>
      </c>
      <c r="D11" s="1" t="s">
        <v>147</v>
      </c>
      <c r="E11" s="13" t="s">
        <v>732</v>
      </c>
      <c r="F11" s="13" t="s">
        <v>731</v>
      </c>
      <c r="G11" s="12" t="s">
        <v>14</v>
      </c>
      <c r="H11" s="55" t="s">
        <v>11</v>
      </c>
      <c r="I11" s="14" t="s">
        <v>145</v>
      </c>
      <c r="J11" s="12" t="s">
        <v>119</v>
      </c>
      <c r="K11" s="12" t="s">
        <v>107</v>
      </c>
      <c r="L11" s="12"/>
      <c r="M11" s="12" t="s">
        <v>147</v>
      </c>
      <c r="N11" s="55"/>
      <c r="O11" s="55"/>
      <c r="P11" s="55"/>
      <c r="Q11" s="55"/>
      <c r="R11" s="55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61"/>
    </row>
    <row r="12" spans="1:37" ht="30">
      <c r="A12" s="14" t="s">
        <v>97</v>
      </c>
      <c r="B12" s="229" t="s">
        <v>97</v>
      </c>
      <c r="C12" s="31" t="s">
        <v>733</v>
      </c>
      <c r="D12" s="1" t="s">
        <v>147</v>
      </c>
      <c r="E12" s="12" t="s">
        <v>734</v>
      </c>
      <c r="F12" s="13" t="s">
        <v>731</v>
      </c>
      <c r="G12" s="12" t="s">
        <v>14</v>
      </c>
      <c r="H12" s="55" t="s">
        <v>11</v>
      </c>
      <c r="I12" s="14" t="s">
        <v>101</v>
      </c>
      <c r="J12" s="12" t="s">
        <v>112</v>
      </c>
      <c r="K12" s="12" t="s">
        <v>674</v>
      </c>
      <c r="L12" s="12"/>
      <c r="M12" s="12" t="s">
        <v>735</v>
      </c>
      <c r="N12" s="55"/>
      <c r="O12" s="55"/>
      <c r="P12" s="1" t="s">
        <v>105</v>
      </c>
      <c r="Q12" s="1" t="s">
        <v>105</v>
      </c>
      <c r="R12" s="1"/>
      <c r="S12" s="1"/>
      <c r="T12" s="1" t="s">
        <v>105</v>
      </c>
      <c r="U12" s="1" t="s">
        <v>105</v>
      </c>
      <c r="V12" s="1"/>
      <c r="W12" s="1" t="s">
        <v>105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61"/>
      <c r="AK12" s="9" t="s">
        <v>702</v>
      </c>
    </row>
    <row r="13" spans="1:37" ht="30">
      <c r="A13" s="14" t="s">
        <v>97</v>
      </c>
      <c r="B13" s="59" t="s">
        <v>97</v>
      </c>
      <c r="C13" s="1" t="s">
        <v>728</v>
      </c>
      <c r="D13" s="1" t="s">
        <v>147</v>
      </c>
      <c r="E13" s="13" t="s">
        <v>736</v>
      </c>
      <c r="F13" s="13" t="s">
        <v>731</v>
      </c>
      <c r="G13" s="12" t="s">
        <v>14</v>
      </c>
      <c r="H13" s="55" t="s">
        <v>11</v>
      </c>
      <c r="I13" s="14" t="s">
        <v>145</v>
      </c>
      <c r="J13" s="12" t="s">
        <v>119</v>
      </c>
      <c r="K13" s="12" t="s">
        <v>107</v>
      </c>
      <c r="L13" s="12"/>
      <c r="M13" s="12" t="s">
        <v>147</v>
      </c>
      <c r="N13" s="55"/>
      <c r="O13" s="55"/>
      <c r="P13" s="55"/>
      <c r="Q13" s="55"/>
      <c r="R13" s="55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61"/>
      <c r="AK13" s="9" t="s">
        <v>702</v>
      </c>
    </row>
    <row r="14" spans="1:37" ht="30">
      <c r="A14" s="14" t="s">
        <v>97</v>
      </c>
      <c r="B14" s="229" t="s">
        <v>97</v>
      </c>
      <c r="C14" s="338" t="s">
        <v>856</v>
      </c>
      <c r="D14" s="338" t="s">
        <v>1333</v>
      </c>
      <c r="E14" s="339" t="s">
        <v>742</v>
      </c>
      <c r="F14" s="12" t="s">
        <v>672</v>
      </c>
      <c r="G14" s="12" t="s">
        <v>14</v>
      </c>
      <c r="H14" s="55" t="s">
        <v>11</v>
      </c>
      <c r="I14" s="1" t="s">
        <v>101</v>
      </c>
      <c r="J14" s="12" t="s">
        <v>112</v>
      </c>
      <c r="K14" s="12" t="s">
        <v>107</v>
      </c>
      <c r="L14" s="12"/>
      <c r="M14" s="65" t="s">
        <v>743</v>
      </c>
      <c r="N14" s="55"/>
      <c r="O14" s="1"/>
      <c r="P14" s="1"/>
      <c r="Q14" s="1"/>
      <c r="R14" s="1"/>
      <c r="S14" s="1"/>
      <c r="T14" s="1" t="s">
        <v>105</v>
      </c>
      <c r="U14" s="1"/>
      <c r="V14" s="1"/>
      <c r="W14" s="1" t="s">
        <v>105</v>
      </c>
      <c r="X14" s="1"/>
      <c r="Y14" s="1"/>
      <c r="Z14" s="1"/>
      <c r="AA14" s="1" t="s">
        <v>105</v>
      </c>
      <c r="AB14" s="1"/>
      <c r="AC14" s="1"/>
      <c r="AD14" s="1"/>
      <c r="AE14" s="1"/>
      <c r="AF14" s="1"/>
      <c r="AG14" s="1"/>
      <c r="AH14" s="1"/>
      <c r="AI14" s="61"/>
      <c r="AK14" s="9" t="s">
        <v>702</v>
      </c>
    </row>
    <row r="15" spans="1:37" ht="30">
      <c r="A15" s="14" t="s">
        <v>97</v>
      </c>
      <c r="B15" s="229" t="s">
        <v>97</v>
      </c>
      <c r="C15" s="340" t="s">
        <v>856</v>
      </c>
      <c r="D15" s="338" t="s">
        <v>1333</v>
      </c>
      <c r="E15" s="339" t="s">
        <v>746</v>
      </c>
      <c r="F15" s="12" t="s">
        <v>672</v>
      </c>
      <c r="G15" s="12" t="s">
        <v>14</v>
      </c>
      <c r="H15" s="55" t="s">
        <v>11</v>
      </c>
      <c r="I15" s="1" t="s">
        <v>101</v>
      </c>
      <c r="J15" s="12" t="s">
        <v>112</v>
      </c>
      <c r="K15" s="12" t="s">
        <v>107</v>
      </c>
      <c r="L15" s="12"/>
      <c r="M15" s="65" t="s">
        <v>745</v>
      </c>
      <c r="N15" s="55"/>
      <c r="O15" s="1"/>
      <c r="P15" s="1"/>
      <c r="Q15" s="1"/>
      <c r="R15" s="1"/>
      <c r="S15" s="1"/>
      <c r="T15" s="1" t="s">
        <v>105</v>
      </c>
      <c r="U15" s="1" t="s">
        <v>105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61"/>
      <c r="AK15" s="9" t="s">
        <v>702</v>
      </c>
    </row>
    <row r="16" spans="1:37" ht="30">
      <c r="A16" s="14" t="s">
        <v>97</v>
      </c>
      <c r="B16" s="229" t="s">
        <v>97</v>
      </c>
      <c r="C16" s="340" t="s">
        <v>856</v>
      </c>
      <c r="D16" s="338" t="s">
        <v>1333</v>
      </c>
      <c r="E16" s="339" t="s">
        <v>752</v>
      </c>
      <c r="F16" s="12" t="s">
        <v>672</v>
      </c>
      <c r="G16" s="12" t="s">
        <v>14</v>
      </c>
      <c r="H16" s="55" t="s">
        <v>11</v>
      </c>
      <c r="I16" s="1" t="s">
        <v>101</v>
      </c>
      <c r="J16" s="12" t="s">
        <v>112</v>
      </c>
      <c r="K16" s="12" t="s">
        <v>107</v>
      </c>
      <c r="L16" s="12"/>
      <c r="M16" s="65" t="s">
        <v>753</v>
      </c>
      <c r="N16" s="55"/>
      <c r="O16" s="1"/>
      <c r="P16" s="1" t="s">
        <v>754</v>
      </c>
      <c r="Q16" s="1"/>
      <c r="R16" s="1"/>
      <c r="S16" s="1"/>
      <c r="T16" s="1" t="s">
        <v>105</v>
      </c>
      <c r="U16" s="1" t="s">
        <v>105</v>
      </c>
      <c r="V16" s="1"/>
      <c r="W16" s="1" t="s">
        <v>105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61"/>
      <c r="AK16" s="9" t="s">
        <v>685</v>
      </c>
    </row>
    <row r="17" spans="1:37" ht="30">
      <c r="A17" s="14" t="s">
        <v>97</v>
      </c>
      <c r="B17" s="229" t="s">
        <v>96</v>
      </c>
      <c r="C17" s="340" t="s">
        <v>741</v>
      </c>
      <c r="D17" s="338" t="s">
        <v>1333</v>
      </c>
      <c r="E17" s="339" t="s">
        <v>1348</v>
      </c>
      <c r="F17" s="12" t="s">
        <v>672</v>
      </c>
      <c r="G17" s="12" t="s">
        <v>14</v>
      </c>
      <c r="H17" s="55" t="s">
        <v>11</v>
      </c>
      <c r="I17" s="1" t="s">
        <v>101</v>
      </c>
      <c r="J17" s="12" t="s">
        <v>112</v>
      </c>
      <c r="K17" s="12" t="s">
        <v>107</v>
      </c>
      <c r="L17" s="12"/>
      <c r="M17" s="65" t="s">
        <v>745</v>
      </c>
      <c r="N17" s="55"/>
      <c r="O17" s="1"/>
      <c r="P17" s="1"/>
      <c r="Q17" s="1"/>
      <c r="R17" s="1"/>
      <c r="S17" s="1"/>
      <c r="T17" s="1" t="s">
        <v>105</v>
      </c>
      <c r="U17" s="1" t="s">
        <v>105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61"/>
      <c r="AK17" s="9" t="s">
        <v>685</v>
      </c>
    </row>
    <row r="18" spans="1:37" ht="30">
      <c r="A18" s="14" t="s">
        <v>97</v>
      </c>
      <c r="B18" s="59" t="s">
        <v>97</v>
      </c>
      <c r="C18" s="31" t="s">
        <v>856</v>
      </c>
      <c r="D18" s="31" t="s">
        <v>147</v>
      </c>
      <c r="E18" s="13" t="s">
        <v>1351</v>
      </c>
      <c r="F18" s="12" t="s">
        <v>757</v>
      </c>
      <c r="G18" s="12" t="s">
        <v>14</v>
      </c>
      <c r="H18" s="55" t="s">
        <v>11</v>
      </c>
      <c r="I18" s="1" t="s">
        <v>101</v>
      </c>
      <c r="J18" s="12" t="s">
        <v>112</v>
      </c>
      <c r="K18" s="12" t="s">
        <v>107</v>
      </c>
      <c r="L18" s="12"/>
      <c r="M18" s="12" t="s">
        <v>758</v>
      </c>
      <c r="N18" s="55"/>
      <c r="O18" s="55"/>
      <c r="P18" s="55"/>
      <c r="Q18" s="55" t="s">
        <v>105</v>
      </c>
      <c r="R18" s="55"/>
      <c r="S18" s="14"/>
      <c r="T18" s="14"/>
      <c r="U18" s="14" t="s">
        <v>105</v>
      </c>
      <c r="V18" s="14"/>
      <c r="W18" s="14" t="s">
        <v>105</v>
      </c>
      <c r="X18" s="14"/>
      <c r="Y18" s="14"/>
      <c r="Z18" s="14"/>
      <c r="AA18" s="14" t="s">
        <v>122</v>
      </c>
      <c r="AB18" s="14"/>
      <c r="AC18" s="14"/>
      <c r="AD18" s="14"/>
      <c r="AE18" s="14"/>
      <c r="AF18" s="14"/>
      <c r="AG18" s="14"/>
      <c r="AH18" s="14"/>
      <c r="AI18" s="61" t="s">
        <v>759</v>
      </c>
      <c r="AK18" s="9" t="s">
        <v>685</v>
      </c>
    </row>
    <row r="19" spans="1:37">
      <c r="A19" s="14" t="s">
        <v>97</v>
      </c>
      <c r="B19" s="59" t="s">
        <v>97</v>
      </c>
      <c r="C19" s="31" t="s">
        <v>147</v>
      </c>
      <c r="D19" s="31" t="s">
        <v>147</v>
      </c>
      <c r="E19" s="13" t="s">
        <v>1350</v>
      </c>
      <c r="F19" s="12"/>
      <c r="G19" s="12"/>
      <c r="H19" s="55"/>
      <c r="I19" s="1"/>
      <c r="J19" s="12"/>
      <c r="K19" s="12"/>
      <c r="L19" s="12"/>
      <c r="M19" s="12"/>
      <c r="N19" s="55"/>
      <c r="O19" s="55"/>
      <c r="P19" s="55"/>
      <c r="Q19" s="55"/>
      <c r="R19" s="55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61"/>
      <c r="AK19" s="9" t="s">
        <v>685</v>
      </c>
    </row>
    <row r="20" spans="1:37" ht="30">
      <c r="A20" s="14" t="s">
        <v>96</v>
      </c>
      <c r="B20" s="59" t="s">
        <v>97</v>
      </c>
      <c r="C20" s="31" t="s">
        <v>662</v>
      </c>
      <c r="D20" s="31" t="s">
        <v>1332</v>
      </c>
      <c r="E20" s="13" t="s">
        <v>1335</v>
      </c>
      <c r="F20" s="13" t="s">
        <v>687</v>
      </c>
      <c r="G20" s="12" t="s">
        <v>14</v>
      </c>
      <c r="H20" s="55" t="s">
        <v>11</v>
      </c>
      <c r="I20" s="1" t="s">
        <v>101</v>
      </c>
      <c r="J20" s="12" t="s">
        <v>112</v>
      </c>
      <c r="K20" s="12" t="s">
        <v>107</v>
      </c>
      <c r="L20" s="12"/>
      <c r="M20" s="12" t="s">
        <v>761</v>
      </c>
      <c r="N20" s="55"/>
      <c r="O20" s="55"/>
      <c r="P20" s="55"/>
      <c r="Q20" s="55"/>
      <c r="R20" s="55"/>
      <c r="S20" s="14"/>
      <c r="T20" s="14" t="s">
        <v>122</v>
      </c>
      <c r="U20" s="14" t="s">
        <v>122</v>
      </c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61"/>
      <c r="AK20" s="167" t="s">
        <v>728</v>
      </c>
    </row>
    <row r="21" spans="1:37" ht="30">
      <c r="A21" s="14" t="s">
        <v>97</v>
      </c>
      <c r="B21" s="59" t="s">
        <v>97</v>
      </c>
      <c r="C21" s="31" t="s">
        <v>147</v>
      </c>
      <c r="D21" s="31" t="s">
        <v>147</v>
      </c>
      <c r="E21" s="13" t="s">
        <v>778</v>
      </c>
      <c r="F21" s="13" t="s">
        <v>731</v>
      </c>
      <c r="G21" s="12" t="s">
        <v>14</v>
      </c>
      <c r="H21" s="55" t="s">
        <v>11</v>
      </c>
      <c r="I21" s="1" t="s">
        <v>145</v>
      </c>
      <c r="J21" s="12" t="s">
        <v>119</v>
      </c>
      <c r="K21" s="12" t="s">
        <v>107</v>
      </c>
      <c r="L21" s="12"/>
      <c r="M21" s="12" t="s">
        <v>147</v>
      </c>
      <c r="N21" s="55"/>
      <c r="O21" s="55"/>
      <c r="P21" s="55"/>
      <c r="Q21" s="55"/>
      <c r="R21" s="55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61"/>
      <c r="AK21" s="9" t="s">
        <v>705</v>
      </c>
    </row>
    <row r="22" spans="1:37" ht="30">
      <c r="A22" s="14" t="s">
        <v>97</v>
      </c>
      <c r="B22" s="59" t="s">
        <v>96</v>
      </c>
      <c r="C22" s="167" t="s">
        <v>662</v>
      </c>
      <c r="D22" s="1" t="s">
        <v>1332</v>
      </c>
      <c r="E22" s="13" t="s">
        <v>783</v>
      </c>
      <c r="F22" s="12" t="s">
        <v>672</v>
      </c>
      <c r="G22" s="12" t="s">
        <v>14</v>
      </c>
      <c r="H22" s="55" t="s">
        <v>11</v>
      </c>
      <c r="I22" s="1" t="s">
        <v>101</v>
      </c>
      <c r="J22" s="12" t="s">
        <v>112</v>
      </c>
      <c r="K22" s="12" t="s">
        <v>107</v>
      </c>
      <c r="L22" s="12"/>
      <c r="M22" s="65" t="s">
        <v>784</v>
      </c>
      <c r="N22" s="55"/>
      <c r="O22" s="1"/>
      <c r="P22" s="1" t="s">
        <v>105</v>
      </c>
      <c r="Q22" s="1"/>
      <c r="R22" s="1"/>
      <c r="S22" s="1"/>
      <c r="T22" s="1" t="s">
        <v>105</v>
      </c>
      <c r="U22" s="1"/>
      <c r="V22" s="1"/>
      <c r="W22" s="1" t="s">
        <v>785</v>
      </c>
      <c r="X22" s="1"/>
      <c r="Y22" s="1"/>
      <c r="Z22" s="1"/>
      <c r="AA22" s="1" t="s">
        <v>105</v>
      </c>
      <c r="AB22" s="1"/>
      <c r="AC22" s="1"/>
      <c r="AD22" s="1"/>
      <c r="AE22" s="1"/>
      <c r="AF22" s="1"/>
      <c r="AG22" s="1"/>
      <c r="AH22" s="1"/>
      <c r="AI22" s="61"/>
      <c r="AK22" s="1" t="s">
        <v>741</v>
      </c>
    </row>
    <row r="23" spans="1:37">
      <c r="A23" s="14" t="s">
        <v>97</v>
      </c>
      <c r="B23" s="229" t="s">
        <v>96</v>
      </c>
      <c r="C23" s="167" t="s">
        <v>662</v>
      </c>
      <c r="D23" s="1" t="s">
        <v>1332</v>
      </c>
      <c r="E23" s="12" t="s">
        <v>1336</v>
      </c>
      <c r="F23" s="12" t="s">
        <v>672</v>
      </c>
      <c r="G23" s="12" t="s">
        <v>673</v>
      </c>
      <c r="H23" s="55" t="s">
        <v>14</v>
      </c>
      <c r="I23" s="1" t="s">
        <v>101</v>
      </c>
      <c r="J23" s="1" t="s">
        <v>103</v>
      </c>
      <c r="K23" s="12" t="s">
        <v>107</v>
      </c>
      <c r="L23" s="12"/>
      <c r="M23" s="65" t="s">
        <v>103</v>
      </c>
      <c r="N23" s="5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61"/>
      <c r="AK23" s="167" t="s">
        <v>741</v>
      </c>
    </row>
    <row r="24" spans="1:37">
      <c r="A24" s="14" t="s">
        <v>96</v>
      </c>
      <c r="B24" s="229" t="s">
        <v>97</v>
      </c>
      <c r="C24" s="167" t="s">
        <v>662</v>
      </c>
      <c r="D24" s="1" t="s">
        <v>1333</v>
      </c>
      <c r="E24" s="12" t="s">
        <v>1337</v>
      </c>
      <c r="F24" s="12"/>
      <c r="G24" s="12"/>
      <c r="H24" s="55"/>
      <c r="I24" s="1"/>
      <c r="J24" s="1"/>
      <c r="K24" s="12"/>
      <c r="L24" s="12"/>
      <c r="M24" s="65"/>
      <c r="N24" s="5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61"/>
    </row>
    <row r="25" spans="1:37" ht="30">
      <c r="A25" s="14" t="s">
        <v>97</v>
      </c>
      <c r="B25" s="229" t="s">
        <v>97</v>
      </c>
      <c r="C25" s="167" t="s">
        <v>662</v>
      </c>
      <c r="D25" s="1" t="s">
        <v>849</v>
      </c>
      <c r="E25" s="12" t="s">
        <v>1338</v>
      </c>
      <c r="F25" s="12" t="s">
        <v>684</v>
      </c>
      <c r="G25" s="12" t="s">
        <v>14</v>
      </c>
      <c r="H25" s="55" t="s">
        <v>11</v>
      </c>
      <c r="I25" s="1" t="s">
        <v>101</v>
      </c>
      <c r="J25" s="12" t="s">
        <v>112</v>
      </c>
      <c r="K25" s="12" t="s">
        <v>107</v>
      </c>
      <c r="L25" s="12"/>
      <c r="M25" s="65" t="s">
        <v>811</v>
      </c>
      <c r="N25" s="55" t="s">
        <v>105</v>
      </c>
      <c r="O25" s="1"/>
      <c r="P25" s="1"/>
      <c r="Q25" s="1"/>
      <c r="R25" s="1"/>
      <c r="S25" s="1"/>
      <c r="T25" s="1" t="s">
        <v>105</v>
      </c>
      <c r="U25" s="1" t="s">
        <v>105</v>
      </c>
      <c r="V25" s="1"/>
      <c r="W25" s="1" t="s">
        <v>105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61"/>
      <c r="AK25" s="167" t="s">
        <v>749</v>
      </c>
    </row>
    <row r="26" spans="1:37">
      <c r="A26" s="14" t="s">
        <v>97</v>
      </c>
      <c r="B26" s="229" t="s">
        <v>96</v>
      </c>
      <c r="C26" s="167" t="s">
        <v>147</v>
      </c>
      <c r="D26" s="1" t="s">
        <v>147</v>
      </c>
      <c r="E26" s="12" t="s">
        <v>1339</v>
      </c>
      <c r="F26" s="12"/>
      <c r="G26" s="12"/>
      <c r="H26" s="55"/>
      <c r="I26" s="1"/>
      <c r="J26" s="12"/>
      <c r="K26" s="12"/>
      <c r="L26" s="12"/>
      <c r="M26" s="65"/>
      <c r="N26" s="5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61"/>
    </row>
    <row r="27" spans="1:37" s="6" customFormat="1">
      <c r="A27" s="301"/>
      <c r="B27" s="301"/>
      <c r="C27" s="301"/>
      <c r="D27" s="301"/>
      <c r="E27" s="89"/>
      <c r="F27" s="106"/>
      <c r="G27" s="106"/>
      <c r="H27" s="106"/>
      <c r="I27" s="301"/>
      <c r="J27" s="89"/>
      <c r="K27" s="89"/>
      <c r="L27" s="106"/>
      <c r="M27" s="89"/>
      <c r="N27" s="106"/>
      <c r="O27" s="106"/>
      <c r="P27" s="106"/>
      <c r="Q27" s="301"/>
      <c r="R27" s="301"/>
      <c r="S27" s="301"/>
      <c r="T27" s="301"/>
      <c r="U27" s="301"/>
      <c r="V27" s="301"/>
      <c r="W27" s="301"/>
      <c r="X27" s="301"/>
      <c r="Y27" s="301"/>
      <c r="Z27" s="301"/>
      <c r="AA27" s="301"/>
      <c r="AB27" s="301"/>
      <c r="AC27" s="301"/>
      <c r="AD27" s="301"/>
      <c r="AE27" s="301"/>
      <c r="AF27" s="301"/>
      <c r="AG27" s="301"/>
      <c r="AH27" s="93"/>
      <c r="AI27" s="9"/>
      <c r="AJ27" s="29"/>
      <c r="AK27" s="168" t="s">
        <v>779</v>
      </c>
    </row>
  </sheetData>
  <phoneticPr fontId="29" type="noConversion"/>
  <conditionalFormatting sqref="B27:D27 B164:D1048576">
    <cfRule type="duplicateValues" dxfId="16" priority="1"/>
  </conditionalFormatting>
  <dataValidations disablePrompts="1" count="1">
    <dataValidation type="list" allowBlank="1" showInputMessage="1" showErrorMessage="1" sqref="J22 N8 J3" xr:uid="{328921AC-5D18-4F43-813A-E604F91B382C}">
      <formula1>"Connected product, Edge control, Analytics,"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90F9-58D0-491F-B135-E492A73E12DC}">
  <dimension ref="A1:AK151"/>
  <sheetViews>
    <sheetView zoomScaleNormal="100" workbookViewId="0">
      <pane xSplit="5" topLeftCell="F1" activePane="topRight" state="frozen"/>
      <selection pane="topRight" activeCell="F97" sqref="F97"/>
    </sheetView>
  </sheetViews>
  <sheetFormatPr baseColWidth="10" defaultColWidth="8.5703125" defaultRowHeight="15"/>
  <cols>
    <col min="1" max="1" width="13.42578125" style="88" customWidth="1"/>
    <col min="2" max="4" width="14" style="88" customWidth="1"/>
    <col min="5" max="5" width="39.5703125" style="89" bestFit="1" customWidth="1"/>
    <col min="6" max="6" width="35.42578125" style="106" bestFit="1" customWidth="1"/>
    <col min="7" max="7" width="32.42578125" style="106" customWidth="1"/>
    <col min="8" max="8" width="18.85546875" style="106" bestFit="1" customWidth="1"/>
    <col min="9" max="9" width="9.42578125" style="88" bestFit="1" customWidth="1"/>
    <col min="10" max="10" width="27.42578125" style="89" bestFit="1" customWidth="1"/>
    <col min="11" max="11" width="17.140625" style="89" bestFit="1" customWidth="1"/>
    <col min="12" max="12" width="29" style="106" bestFit="1" customWidth="1"/>
    <col min="13" max="13" width="66.42578125" style="89" customWidth="1"/>
    <col min="14" max="14" width="9.42578125" style="106" bestFit="1" customWidth="1"/>
    <col min="15" max="15" width="5.85546875" style="106" bestFit="1" customWidth="1"/>
    <col min="16" max="16" width="6.42578125" style="106" bestFit="1" customWidth="1"/>
    <col min="17" max="17" width="13.5703125" style="88" bestFit="1" customWidth="1"/>
    <col min="18" max="18" width="6.5703125" style="88" bestFit="1" customWidth="1"/>
    <col min="19" max="19" width="10.5703125" style="88" bestFit="1" customWidth="1"/>
    <col min="20" max="20" width="12.42578125" style="88" bestFit="1" customWidth="1"/>
    <col min="21" max="21" width="15.5703125" style="88" bestFit="1" customWidth="1"/>
    <col min="22" max="22" width="9.85546875" style="88" bestFit="1" customWidth="1"/>
    <col min="23" max="23" width="10.5703125" style="88" bestFit="1" customWidth="1"/>
    <col min="24" max="24" width="14.42578125" style="88" bestFit="1" customWidth="1"/>
    <col min="25" max="25" width="11" style="88" bestFit="1" customWidth="1"/>
    <col min="26" max="26" width="10.140625" style="88" bestFit="1" customWidth="1"/>
    <col min="27" max="27" width="9.42578125" style="88" bestFit="1" customWidth="1"/>
    <col min="28" max="28" width="10.42578125" style="88" bestFit="1" customWidth="1"/>
    <col min="29" max="30" width="9.42578125" style="88" bestFit="1" customWidth="1"/>
    <col min="31" max="31" width="16" style="88" bestFit="1" customWidth="1"/>
    <col min="32" max="32" width="16.42578125" style="88" bestFit="1" customWidth="1"/>
    <col min="33" max="33" width="10.42578125" style="88" bestFit="1" customWidth="1"/>
    <col min="34" max="34" width="11.42578125" style="93" bestFit="1" customWidth="1"/>
    <col min="35" max="35" width="10.42578125" style="9" bestFit="1" customWidth="1"/>
    <col min="36" max="36" width="8.5703125" style="9"/>
    <col min="37" max="37" width="13.42578125" style="9" bestFit="1" customWidth="1"/>
    <col min="38" max="16384" width="8.5703125" style="9"/>
  </cols>
  <sheetData>
    <row r="1" spans="1:37">
      <c r="A1" s="88">
        <f>COUNTIF(Table548[Seen on BS],"Yes")</f>
        <v>4</v>
      </c>
      <c r="B1" s="88">
        <f>COUNTIF(Table548[Fingerprints available],"Yes")</f>
        <v>14</v>
      </c>
      <c r="E1" s="88">
        <f>COUNTA(Table548[Product range])</f>
        <v>93</v>
      </c>
    </row>
    <row r="2" spans="1:37" ht="30">
      <c r="A2" s="103" t="s">
        <v>33</v>
      </c>
      <c r="B2" s="123" t="s">
        <v>64</v>
      </c>
      <c r="C2" s="123" t="s">
        <v>662</v>
      </c>
      <c r="D2" s="123" t="s">
        <v>663</v>
      </c>
      <c r="E2" s="123" t="s">
        <v>304</v>
      </c>
      <c r="F2" s="123" t="s">
        <v>66</v>
      </c>
      <c r="G2" s="123" t="s">
        <v>29</v>
      </c>
      <c r="H2" s="123" t="s">
        <v>28</v>
      </c>
      <c r="I2" s="123" t="s">
        <v>67</v>
      </c>
      <c r="J2" s="123" t="s">
        <v>664</v>
      </c>
      <c r="K2" s="123" t="s">
        <v>69</v>
      </c>
      <c r="L2" s="123" t="s">
        <v>70</v>
      </c>
      <c r="M2" s="123" t="s">
        <v>71</v>
      </c>
      <c r="N2" s="124" t="s">
        <v>72</v>
      </c>
      <c r="O2" s="124" t="s">
        <v>73</v>
      </c>
      <c r="P2" s="124" t="s">
        <v>74</v>
      </c>
      <c r="Q2" s="124" t="s">
        <v>75</v>
      </c>
      <c r="R2" s="124" t="s">
        <v>76</v>
      </c>
      <c r="S2" s="123" t="s">
        <v>77</v>
      </c>
      <c r="T2" s="123" t="s">
        <v>78</v>
      </c>
      <c r="U2" s="123" t="s">
        <v>79</v>
      </c>
      <c r="V2" s="123" t="s">
        <v>80</v>
      </c>
      <c r="W2" s="123" t="s">
        <v>81</v>
      </c>
      <c r="X2" s="123" t="s">
        <v>82</v>
      </c>
      <c r="Y2" s="123" t="s">
        <v>83</v>
      </c>
      <c r="Z2" s="123" t="s">
        <v>84</v>
      </c>
      <c r="AA2" s="123" t="s">
        <v>85</v>
      </c>
      <c r="AB2" s="123" t="s">
        <v>86</v>
      </c>
      <c r="AC2" s="123" t="s">
        <v>87</v>
      </c>
      <c r="AD2" s="123" t="s">
        <v>88</v>
      </c>
      <c r="AE2" s="123" t="s">
        <v>89</v>
      </c>
      <c r="AF2" s="123" t="s">
        <v>90</v>
      </c>
      <c r="AG2" s="123" t="s">
        <v>91</v>
      </c>
      <c r="AH2" s="123" t="s">
        <v>92</v>
      </c>
      <c r="AI2" s="125" t="s">
        <v>93</v>
      </c>
      <c r="AK2" s="9" t="s">
        <v>665</v>
      </c>
    </row>
    <row r="3" spans="1:37" ht="30">
      <c r="A3" s="14" t="s">
        <v>97</v>
      </c>
      <c r="B3" s="229" t="s">
        <v>97</v>
      </c>
      <c r="C3" s="31" t="s">
        <v>666</v>
      </c>
      <c r="D3" s="31"/>
      <c r="E3" s="12" t="s">
        <v>667</v>
      </c>
      <c r="F3" s="12" t="s">
        <v>668</v>
      </c>
      <c r="G3" s="12" t="s">
        <v>14</v>
      </c>
      <c r="H3" s="55" t="s">
        <v>11</v>
      </c>
      <c r="I3" s="1" t="s">
        <v>101</v>
      </c>
      <c r="J3" s="12" t="s">
        <v>112</v>
      </c>
      <c r="K3" s="12" t="s">
        <v>107</v>
      </c>
      <c r="L3" s="12"/>
      <c r="M3" s="12" t="s">
        <v>669</v>
      </c>
      <c r="N3" s="55"/>
      <c r="O3" s="55"/>
      <c r="P3" s="55"/>
      <c r="Q3" s="55"/>
      <c r="R3" s="55"/>
      <c r="S3" s="14"/>
      <c r="T3" s="14" t="s">
        <v>105</v>
      </c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61"/>
      <c r="AK3" s="9" t="s">
        <v>666</v>
      </c>
    </row>
    <row r="4" spans="1:37" ht="45">
      <c r="A4" s="14" t="s">
        <v>97</v>
      </c>
      <c r="B4" s="229" t="s">
        <v>97</v>
      </c>
      <c r="C4" s="31" t="s">
        <v>670</v>
      </c>
      <c r="D4" s="31"/>
      <c r="E4" s="12" t="s">
        <v>671</v>
      </c>
      <c r="F4" s="12" t="s">
        <v>672</v>
      </c>
      <c r="G4" s="12" t="s">
        <v>673</v>
      </c>
      <c r="H4" s="55" t="s">
        <v>14</v>
      </c>
      <c r="I4" s="14" t="s">
        <v>101</v>
      </c>
      <c r="J4" s="12" t="s">
        <v>103</v>
      </c>
      <c r="K4" s="12" t="s">
        <v>674</v>
      </c>
      <c r="L4" s="12" t="s">
        <v>675</v>
      </c>
      <c r="M4" s="65" t="s">
        <v>676</v>
      </c>
      <c r="N4" s="55"/>
      <c r="O4" s="1"/>
      <c r="P4" s="1"/>
      <c r="Q4" s="1"/>
      <c r="R4" s="1"/>
      <c r="S4" s="1"/>
      <c r="T4" s="14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61"/>
      <c r="AK4" s="9" t="s">
        <v>670</v>
      </c>
    </row>
    <row r="5" spans="1:37">
      <c r="A5" s="14" t="s">
        <v>97</v>
      </c>
      <c r="B5" s="229" t="s">
        <v>96</v>
      </c>
      <c r="C5" s="31" t="s">
        <v>670</v>
      </c>
      <c r="D5" s="31"/>
      <c r="E5" s="12" t="s">
        <v>677</v>
      </c>
      <c r="F5" s="12" t="s">
        <v>672</v>
      </c>
      <c r="G5" s="12" t="s">
        <v>673</v>
      </c>
      <c r="H5" s="55" t="s">
        <v>14</v>
      </c>
      <c r="I5" s="14" t="s">
        <v>101</v>
      </c>
      <c r="J5" s="12" t="s">
        <v>103</v>
      </c>
      <c r="K5" s="12" t="s">
        <v>107</v>
      </c>
      <c r="L5" s="12"/>
      <c r="M5" s="65" t="s">
        <v>676</v>
      </c>
      <c r="N5" s="55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61"/>
      <c r="AK5" s="9" t="s">
        <v>670</v>
      </c>
    </row>
    <row r="6" spans="1:37" ht="30">
      <c r="A6" s="14" t="s">
        <v>97</v>
      </c>
      <c r="B6" s="229" t="s">
        <v>97</v>
      </c>
      <c r="C6" s="31" t="s">
        <v>670</v>
      </c>
      <c r="D6" s="31"/>
      <c r="E6" s="12" t="s">
        <v>678</v>
      </c>
      <c r="F6" s="12" t="s">
        <v>672</v>
      </c>
      <c r="G6" s="12" t="s">
        <v>14</v>
      </c>
      <c r="H6" s="55" t="s">
        <v>11</v>
      </c>
      <c r="I6" s="14" t="s">
        <v>101</v>
      </c>
      <c r="J6" s="12" t="s">
        <v>112</v>
      </c>
      <c r="K6" s="12" t="s">
        <v>107</v>
      </c>
      <c r="L6" s="1" t="s">
        <v>679</v>
      </c>
      <c r="M6" s="65" t="s">
        <v>676</v>
      </c>
      <c r="N6" s="55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 t="s">
        <v>105</v>
      </c>
      <c r="AF6" s="1"/>
      <c r="AG6" s="1"/>
      <c r="AH6" s="1"/>
      <c r="AI6" s="61"/>
      <c r="AK6" s="9" t="s">
        <v>670</v>
      </c>
    </row>
    <row r="7" spans="1:37" ht="30">
      <c r="A7" s="14" t="s">
        <v>97</v>
      </c>
      <c r="B7" s="229" t="s">
        <v>96</v>
      </c>
      <c r="C7" s="31" t="s">
        <v>670</v>
      </c>
      <c r="D7" s="31"/>
      <c r="E7" s="12" t="s">
        <v>680</v>
      </c>
      <c r="F7" s="12" t="s">
        <v>672</v>
      </c>
      <c r="G7" s="12" t="s">
        <v>14</v>
      </c>
      <c r="H7" s="55" t="s">
        <v>11</v>
      </c>
      <c r="I7" s="14" t="s">
        <v>101</v>
      </c>
      <c r="J7" s="12" t="s">
        <v>112</v>
      </c>
      <c r="K7" s="12" t="s">
        <v>107</v>
      </c>
      <c r="L7" s="1" t="s">
        <v>209</v>
      </c>
      <c r="M7" s="65" t="s">
        <v>676</v>
      </c>
      <c r="N7" s="5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61"/>
      <c r="AK7" s="9" t="s">
        <v>670</v>
      </c>
    </row>
    <row r="8" spans="1:37">
      <c r="A8" s="14" t="s">
        <v>97</v>
      </c>
      <c r="B8" s="229" t="s">
        <v>97</v>
      </c>
      <c r="C8" s="31" t="s">
        <v>681</v>
      </c>
      <c r="D8" s="31"/>
      <c r="E8" s="12" t="s">
        <v>682</v>
      </c>
      <c r="F8" s="12" t="s">
        <v>668</v>
      </c>
      <c r="G8" s="12" t="s">
        <v>673</v>
      </c>
      <c r="H8" s="55" t="s">
        <v>14</v>
      </c>
      <c r="I8" s="14" t="s">
        <v>101</v>
      </c>
      <c r="J8" s="12" t="s">
        <v>103</v>
      </c>
      <c r="K8" s="12" t="s">
        <v>107</v>
      </c>
      <c r="L8" s="12"/>
      <c r="M8" s="12" t="s">
        <v>676</v>
      </c>
      <c r="N8" s="55"/>
      <c r="O8" s="55"/>
      <c r="P8" s="55"/>
      <c r="Q8" s="55"/>
      <c r="R8" s="55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61"/>
      <c r="AK8" s="9" t="s">
        <v>681</v>
      </c>
    </row>
    <row r="9" spans="1:37" ht="30">
      <c r="A9" s="14" t="s">
        <v>97</v>
      </c>
      <c r="B9" s="229" t="s">
        <v>96</v>
      </c>
      <c r="C9" s="31" t="s">
        <v>681</v>
      </c>
      <c r="D9" s="31"/>
      <c r="E9" s="12" t="s">
        <v>683</v>
      </c>
      <c r="F9" s="12" t="s">
        <v>684</v>
      </c>
      <c r="G9" s="12" t="s">
        <v>673</v>
      </c>
      <c r="H9" s="55" t="s">
        <v>14</v>
      </c>
      <c r="I9" s="14" t="s">
        <v>101</v>
      </c>
      <c r="J9" s="12" t="s">
        <v>103</v>
      </c>
      <c r="K9" s="12" t="s">
        <v>107</v>
      </c>
      <c r="L9" s="12"/>
      <c r="M9" s="65" t="s">
        <v>676</v>
      </c>
      <c r="N9" s="55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61"/>
      <c r="AK9" s="9" t="s">
        <v>681</v>
      </c>
    </row>
    <row r="10" spans="1:37">
      <c r="A10" s="14" t="s">
        <v>97</v>
      </c>
      <c r="B10" s="59" t="s">
        <v>97</v>
      </c>
      <c r="C10" s="31" t="s">
        <v>685</v>
      </c>
      <c r="D10" s="31"/>
      <c r="E10" s="13" t="s">
        <v>686</v>
      </c>
      <c r="F10" s="13" t="s">
        <v>687</v>
      </c>
      <c r="G10" s="12" t="s">
        <v>673</v>
      </c>
      <c r="H10" s="55" t="s">
        <v>14</v>
      </c>
      <c r="I10" s="14" t="s">
        <v>101</v>
      </c>
      <c r="J10" s="12" t="s">
        <v>103</v>
      </c>
      <c r="K10" s="12" t="s">
        <v>107</v>
      </c>
      <c r="L10" s="12"/>
      <c r="M10" s="65" t="s">
        <v>676</v>
      </c>
      <c r="N10" s="55"/>
      <c r="O10" s="55"/>
      <c r="P10" s="55"/>
      <c r="Q10" s="55"/>
      <c r="R10" s="55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61"/>
      <c r="AK10" s="9" t="s">
        <v>685</v>
      </c>
    </row>
    <row r="11" spans="1:37" ht="30">
      <c r="A11" s="14" t="s">
        <v>97</v>
      </c>
      <c r="B11" s="229" t="s">
        <v>96</v>
      </c>
      <c r="C11" s="31" t="s">
        <v>685</v>
      </c>
      <c r="D11" s="31"/>
      <c r="E11" s="12" t="s">
        <v>688</v>
      </c>
      <c r="F11" s="12" t="s">
        <v>684</v>
      </c>
      <c r="G11" s="12" t="s">
        <v>14</v>
      </c>
      <c r="H11" s="55" t="s">
        <v>11</v>
      </c>
      <c r="I11" s="14" t="s">
        <v>101</v>
      </c>
      <c r="J11" s="12" t="s">
        <v>112</v>
      </c>
      <c r="K11" s="12" t="s">
        <v>107</v>
      </c>
      <c r="L11" s="12"/>
      <c r="M11" s="65" t="s">
        <v>689</v>
      </c>
      <c r="N11" s="55"/>
      <c r="O11" s="1"/>
      <c r="P11" s="1"/>
      <c r="Q11" s="1"/>
      <c r="R11" s="1"/>
      <c r="S11" s="1"/>
      <c r="T11" s="1" t="s">
        <v>105</v>
      </c>
      <c r="U11" s="1" t="s">
        <v>105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61"/>
      <c r="AK11" s="9" t="s">
        <v>685</v>
      </c>
    </row>
    <row r="12" spans="1:37">
      <c r="A12" s="14" t="s">
        <v>97</v>
      </c>
      <c r="B12" s="59" t="s">
        <v>97</v>
      </c>
      <c r="C12" s="31" t="s">
        <v>685</v>
      </c>
      <c r="D12" s="31"/>
      <c r="E12" s="13" t="s">
        <v>690</v>
      </c>
      <c r="F12" s="13" t="s">
        <v>687</v>
      </c>
      <c r="G12" s="12" t="s">
        <v>673</v>
      </c>
      <c r="H12" s="55" t="s">
        <v>14</v>
      </c>
      <c r="I12" s="14" t="s">
        <v>101</v>
      </c>
      <c r="J12" s="12" t="s">
        <v>112</v>
      </c>
      <c r="K12" s="12" t="s">
        <v>107</v>
      </c>
      <c r="L12" s="55" t="s">
        <v>691</v>
      </c>
      <c r="M12" s="65" t="s">
        <v>676</v>
      </c>
      <c r="N12" s="55"/>
      <c r="O12" s="55"/>
      <c r="P12" s="55"/>
      <c r="Q12" s="55"/>
      <c r="R12" s="55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61"/>
      <c r="AK12" s="9" t="s">
        <v>685</v>
      </c>
    </row>
    <row r="13" spans="1:37" ht="30">
      <c r="A13" s="14" t="s">
        <v>97</v>
      </c>
      <c r="B13" s="59" t="s">
        <v>97</v>
      </c>
      <c r="C13" s="31" t="s">
        <v>685</v>
      </c>
      <c r="D13" s="31"/>
      <c r="E13" s="13" t="s">
        <v>692</v>
      </c>
      <c r="F13" s="13" t="s">
        <v>687</v>
      </c>
      <c r="G13" s="12" t="s">
        <v>14</v>
      </c>
      <c r="H13" s="55" t="s">
        <v>11</v>
      </c>
      <c r="I13" s="14" t="s">
        <v>101</v>
      </c>
      <c r="J13" s="12" t="s">
        <v>112</v>
      </c>
      <c r="K13" s="12" t="s">
        <v>107</v>
      </c>
      <c r="L13" s="12"/>
      <c r="M13" s="12" t="s">
        <v>693</v>
      </c>
      <c r="N13" s="55"/>
      <c r="O13" s="55"/>
      <c r="P13" s="55"/>
      <c r="Q13" s="55" t="s">
        <v>105</v>
      </c>
      <c r="R13" s="55"/>
      <c r="S13" s="14"/>
      <c r="T13" s="14"/>
      <c r="U13" s="14"/>
      <c r="V13" s="14"/>
      <c r="W13" s="14" t="s">
        <v>105</v>
      </c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61"/>
      <c r="AK13" s="9" t="s">
        <v>685</v>
      </c>
    </row>
    <row r="14" spans="1:37" ht="30">
      <c r="A14" s="14" t="s">
        <v>97</v>
      </c>
      <c r="B14" s="229" t="s">
        <v>97</v>
      </c>
      <c r="C14" s="31" t="s">
        <v>685</v>
      </c>
      <c r="D14" s="31"/>
      <c r="E14" s="12" t="s">
        <v>694</v>
      </c>
      <c r="F14" s="12" t="s">
        <v>668</v>
      </c>
      <c r="G14" s="12" t="s">
        <v>14</v>
      </c>
      <c r="H14" s="55" t="s">
        <v>11</v>
      </c>
      <c r="I14" s="1" t="s">
        <v>101</v>
      </c>
      <c r="J14" s="12" t="s">
        <v>112</v>
      </c>
      <c r="K14" s="12" t="s">
        <v>107</v>
      </c>
      <c r="L14" s="55" t="s">
        <v>695</v>
      </c>
      <c r="M14" s="65" t="s">
        <v>676</v>
      </c>
      <c r="N14" s="55"/>
      <c r="O14" s="55"/>
      <c r="P14" s="55"/>
      <c r="Q14" s="55"/>
      <c r="R14" s="55"/>
      <c r="S14" s="14"/>
      <c r="T14" s="14"/>
      <c r="U14" s="14"/>
      <c r="V14" s="14"/>
      <c r="W14" s="14"/>
      <c r="X14" s="14"/>
      <c r="Y14" s="14"/>
      <c r="Z14" s="14"/>
      <c r="AA14" s="14" t="s">
        <v>105</v>
      </c>
      <c r="AB14" s="14"/>
      <c r="AC14" s="14"/>
      <c r="AD14" s="14"/>
      <c r="AE14" s="14"/>
      <c r="AF14" s="14"/>
      <c r="AG14" s="14"/>
      <c r="AH14" s="14"/>
      <c r="AI14" s="61"/>
      <c r="AK14" s="9" t="s">
        <v>685</v>
      </c>
    </row>
    <row r="15" spans="1:37" ht="30">
      <c r="A15" s="14" t="s">
        <v>97</v>
      </c>
      <c r="B15" s="229" t="s">
        <v>97</v>
      </c>
      <c r="C15" s="31" t="s">
        <v>685</v>
      </c>
      <c r="D15" s="31"/>
      <c r="E15" s="12" t="s">
        <v>696</v>
      </c>
      <c r="F15" s="12" t="s">
        <v>668</v>
      </c>
      <c r="G15" s="12" t="s">
        <v>14</v>
      </c>
      <c r="H15" s="55" t="s">
        <v>11</v>
      </c>
      <c r="I15" s="1" t="s">
        <v>101</v>
      </c>
      <c r="J15" s="12" t="s">
        <v>112</v>
      </c>
      <c r="K15" s="12" t="s">
        <v>107</v>
      </c>
      <c r="L15" s="55" t="s">
        <v>695</v>
      </c>
      <c r="M15" s="65" t="s">
        <v>676</v>
      </c>
      <c r="N15" s="55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4" t="s">
        <v>105</v>
      </c>
      <c r="AB15" s="1"/>
      <c r="AC15" s="1"/>
      <c r="AD15" s="1"/>
      <c r="AE15" s="1"/>
      <c r="AF15" s="1"/>
      <c r="AG15" s="1"/>
      <c r="AH15" s="1"/>
      <c r="AI15" s="61"/>
      <c r="AK15" s="9" t="s">
        <v>685</v>
      </c>
    </row>
    <row r="16" spans="1:37" ht="30">
      <c r="A16" s="14" t="s">
        <v>97</v>
      </c>
      <c r="B16" s="229" t="s">
        <v>97</v>
      </c>
      <c r="C16" s="31" t="s">
        <v>685</v>
      </c>
      <c r="D16" s="31"/>
      <c r="E16" s="12" t="s">
        <v>697</v>
      </c>
      <c r="F16" s="12" t="s">
        <v>668</v>
      </c>
      <c r="G16" s="12" t="s">
        <v>14</v>
      </c>
      <c r="H16" s="55" t="s">
        <v>11</v>
      </c>
      <c r="I16" s="1" t="s">
        <v>101</v>
      </c>
      <c r="J16" s="12" t="s">
        <v>112</v>
      </c>
      <c r="K16" s="12" t="s">
        <v>107</v>
      </c>
      <c r="L16" s="55" t="s">
        <v>695</v>
      </c>
      <c r="M16" s="65" t="s">
        <v>676</v>
      </c>
      <c r="N16" s="5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4" t="s">
        <v>105</v>
      </c>
      <c r="AB16" s="1"/>
      <c r="AC16" s="1"/>
      <c r="AD16" s="1"/>
      <c r="AE16" s="1"/>
      <c r="AF16" s="1"/>
      <c r="AG16" s="1"/>
      <c r="AH16" s="1"/>
      <c r="AI16" s="61"/>
      <c r="AK16" s="9" t="s">
        <v>685</v>
      </c>
    </row>
    <row r="17" spans="1:37" ht="30">
      <c r="A17" s="14" t="s">
        <v>97</v>
      </c>
      <c r="B17" s="59" t="s">
        <v>96</v>
      </c>
      <c r="C17" s="31" t="s">
        <v>685</v>
      </c>
      <c r="D17" s="31"/>
      <c r="E17" s="13" t="s">
        <v>698</v>
      </c>
      <c r="F17" s="13" t="s">
        <v>687</v>
      </c>
      <c r="G17" s="12" t="s">
        <v>14</v>
      </c>
      <c r="H17" s="55" t="s">
        <v>11</v>
      </c>
      <c r="I17" s="14" t="s">
        <v>101</v>
      </c>
      <c r="J17" s="12" t="s">
        <v>112</v>
      </c>
      <c r="K17" s="12" t="s">
        <v>107</v>
      </c>
      <c r="L17" s="12"/>
      <c r="M17" s="12" t="s">
        <v>693</v>
      </c>
      <c r="N17" s="55"/>
      <c r="O17" s="55"/>
      <c r="P17" s="55"/>
      <c r="Q17" s="55" t="s">
        <v>105</v>
      </c>
      <c r="R17" s="55"/>
      <c r="S17" s="14"/>
      <c r="T17" s="14"/>
      <c r="U17" s="14"/>
      <c r="V17" s="14"/>
      <c r="W17" s="14" t="s">
        <v>105</v>
      </c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61"/>
      <c r="AK17" s="9" t="s">
        <v>685</v>
      </c>
    </row>
    <row r="18" spans="1:37">
      <c r="A18" s="14" t="s">
        <v>97</v>
      </c>
      <c r="B18" s="229" t="s">
        <v>97</v>
      </c>
      <c r="C18" s="31" t="s">
        <v>685</v>
      </c>
      <c r="D18" s="31"/>
      <c r="E18" s="12" t="s">
        <v>699</v>
      </c>
      <c r="F18" s="12" t="s">
        <v>672</v>
      </c>
      <c r="G18" s="12" t="s">
        <v>673</v>
      </c>
      <c r="H18" s="55" t="s">
        <v>14</v>
      </c>
      <c r="I18" s="14" t="s">
        <v>101</v>
      </c>
      <c r="J18" s="12" t="s">
        <v>103</v>
      </c>
      <c r="K18" s="12" t="s">
        <v>107</v>
      </c>
      <c r="L18" s="12"/>
      <c r="M18" s="65" t="s">
        <v>676</v>
      </c>
      <c r="N18" s="5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61"/>
      <c r="AK18" s="9" t="s">
        <v>685</v>
      </c>
    </row>
    <row r="19" spans="1:37" ht="30">
      <c r="A19" s="14" t="s">
        <v>97</v>
      </c>
      <c r="B19" s="229" t="s">
        <v>96</v>
      </c>
      <c r="C19" s="31" t="s">
        <v>685</v>
      </c>
      <c r="D19" s="31"/>
      <c r="E19" s="12" t="s">
        <v>700</v>
      </c>
      <c r="F19" s="12" t="s">
        <v>672</v>
      </c>
      <c r="G19" s="12" t="s">
        <v>14</v>
      </c>
      <c r="H19" s="55" t="s">
        <v>11</v>
      </c>
      <c r="I19" s="14" t="s">
        <v>101</v>
      </c>
      <c r="J19" s="12" t="s">
        <v>112</v>
      </c>
      <c r="K19" s="12" t="s">
        <v>107</v>
      </c>
      <c r="L19" s="12"/>
      <c r="M19" s="12" t="s">
        <v>701</v>
      </c>
      <c r="N19" s="12"/>
      <c r="O19" s="1"/>
      <c r="P19" s="1"/>
      <c r="Q19" s="1"/>
      <c r="R19" s="1"/>
      <c r="S19" s="1"/>
      <c r="T19" s="1" t="s">
        <v>105</v>
      </c>
      <c r="U19" s="1" t="s">
        <v>122</v>
      </c>
      <c r="V19" s="1"/>
      <c r="W19" s="1" t="s">
        <v>105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61"/>
      <c r="AK19" s="9" t="s">
        <v>685</v>
      </c>
    </row>
    <row r="20" spans="1:37" ht="30">
      <c r="A20" s="14" t="s">
        <v>97</v>
      </c>
      <c r="B20" s="229" t="s">
        <v>96</v>
      </c>
      <c r="C20" s="31" t="s">
        <v>702</v>
      </c>
      <c r="D20" s="31"/>
      <c r="E20" s="12" t="s">
        <v>703</v>
      </c>
      <c r="F20" s="12" t="s">
        <v>672</v>
      </c>
      <c r="G20" s="12" t="s">
        <v>14</v>
      </c>
      <c r="H20" s="55" t="s">
        <v>11</v>
      </c>
      <c r="I20" s="14" t="s">
        <v>101</v>
      </c>
      <c r="J20" s="12" t="s">
        <v>112</v>
      </c>
      <c r="K20" s="12" t="s">
        <v>107</v>
      </c>
      <c r="L20" s="12"/>
      <c r="M20" s="65" t="s">
        <v>704</v>
      </c>
      <c r="N20" s="55" t="s">
        <v>105</v>
      </c>
      <c r="O20" s="1"/>
      <c r="P20" s="1"/>
      <c r="Q20" s="1"/>
      <c r="R20" s="1"/>
      <c r="S20" s="1"/>
      <c r="T20" s="1" t="s">
        <v>105</v>
      </c>
      <c r="U20" s="1" t="s">
        <v>705</v>
      </c>
      <c r="V20" s="1"/>
      <c r="W20" s="1" t="s">
        <v>105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61"/>
      <c r="AK20" s="9" t="s">
        <v>702</v>
      </c>
    </row>
    <row r="21" spans="1:37" ht="30">
      <c r="A21" s="14" t="s">
        <v>97</v>
      </c>
      <c r="B21" s="229" t="s">
        <v>97</v>
      </c>
      <c r="C21" s="31" t="s">
        <v>702</v>
      </c>
      <c r="D21" s="31"/>
      <c r="E21" s="12" t="s">
        <v>706</v>
      </c>
      <c r="F21" s="13" t="s">
        <v>672</v>
      </c>
      <c r="G21" s="12" t="s">
        <v>14</v>
      </c>
      <c r="H21" s="55" t="s">
        <v>11</v>
      </c>
      <c r="I21" s="1" t="s">
        <v>101</v>
      </c>
      <c r="J21" s="12" t="s">
        <v>112</v>
      </c>
      <c r="K21" s="12" t="s">
        <v>107</v>
      </c>
      <c r="L21" s="12"/>
      <c r="M21" s="12" t="s">
        <v>707</v>
      </c>
      <c r="N21" s="55"/>
      <c r="O21" s="1"/>
      <c r="P21" s="1"/>
      <c r="Q21" s="1"/>
      <c r="R21" s="1"/>
      <c r="S21" s="1"/>
      <c r="T21" s="1" t="s">
        <v>122</v>
      </c>
      <c r="U21" s="1"/>
      <c r="V21" s="1"/>
      <c r="W21" s="1" t="s">
        <v>105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61"/>
      <c r="AK21" s="9" t="s">
        <v>702</v>
      </c>
    </row>
    <row r="22" spans="1:37" ht="30">
      <c r="A22" s="14" t="s">
        <v>97</v>
      </c>
      <c r="B22" s="229" t="s">
        <v>97</v>
      </c>
      <c r="C22" s="31" t="s">
        <v>702</v>
      </c>
      <c r="D22" s="31"/>
      <c r="E22" s="12" t="s">
        <v>708</v>
      </c>
      <c r="F22" s="12" t="s">
        <v>672</v>
      </c>
      <c r="G22" s="12" t="s">
        <v>14</v>
      </c>
      <c r="H22" s="55" t="s">
        <v>11</v>
      </c>
      <c r="I22" s="14" t="s">
        <v>101</v>
      </c>
      <c r="J22" s="12" t="s">
        <v>112</v>
      </c>
      <c r="K22" s="12" t="s">
        <v>107</v>
      </c>
      <c r="L22" s="12"/>
      <c r="M22" s="65" t="s">
        <v>709</v>
      </c>
      <c r="N22" s="55" t="s">
        <v>105</v>
      </c>
      <c r="O22" s="1"/>
      <c r="P22" s="1"/>
      <c r="Q22" s="1"/>
      <c r="R22" s="1"/>
      <c r="S22" s="1"/>
      <c r="T22" s="1" t="s">
        <v>105</v>
      </c>
      <c r="U22" s="1" t="s">
        <v>105</v>
      </c>
      <c r="V22" s="1"/>
      <c r="W22" s="1" t="s">
        <v>105</v>
      </c>
      <c r="X22" s="1"/>
      <c r="Y22" s="1"/>
      <c r="Z22" s="1"/>
      <c r="AA22" s="1" t="s">
        <v>105</v>
      </c>
      <c r="AB22" s="1"/>
      <c r="AC22" s="1"/>
      <c r="AD22" s="1"/>
      <c r="AE22" s="1"/>
      <c r="AF22" s="1"/>
      <c r="AG22" s="1"/>
      <c r="AH22" s="1"/>
      <c r="AI22" s="61"/>
      <c r="AK22" s="9" t="s">
        <v>702</v>
      </c>
    </row>
    <row r="23" spans="1:37" ht="30">
      <c r="A23" s="14" t="s">
        <v>97</v>
      </c>
      <c r="B23" s="229" t="s">
        <v>97</v>
      </c>
      <c r="C23" s="31" t="s">
        <v>702</v>
      </c>
      <c r="D23" s="31"/>
      <c r="E23" s="12" t="s">
        <v>710</v>
      </c>
      <c r="F23" s="13" t="s">
        <v>672</v>
      </c>
      <c r="G23" s="12" t="s">
        <v>14</v>
      </c>
      <c r="H23" s="55" t="s">
        <v>11</v>
      </c>
      <c r="I23" s="1" t="s">
        <v>101</v>
      </c>
      <c r="J23" s="12" t="s">
        <v>112</v>
      </c>
      <c r="K23" s="12" t="s">
        <v>107</v>
      </c>
      <c r="L23" s="12"/>
      <c r="M23" s="12" t="s">
        <v>707</v>
      </c>
      <c r="N23" s="55"/>
      <c r="O23" s="55"/>
      <c r="P23" s="55"/>
      <c r="Q23" s="55"/>
      <c r="R23" s="55"/>
      <c r="S23" s="14"/>
      <c r="T23" s="1" t="s">
        <v>122</v>
      </c>
      <c r="U23" s="14"/>
      <c r="V23" s="14"/>
      <c r="W23" s="14" t="s">
        <v>105</v>
      </c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61"/>
      <c r="AK23" s="9" t="s">
        <v>702</v>
      </c>
    </row>
    <row r="24" spans="1:37" ht="30">
      <c r="A24" s="14" t="s">
        <v>97</v>
      </c>
      <c r="B24" s="229" t="s">
        <v>97</v>
      </c>
      <c r="C24" s="31" t="s">
        <v>702</v>
      </c>
      <c r="D24" s="31"/>
      <c r="E24" s="12" t="s">
        <v>711</v>
      </c>
      <c r="F24" s="12" t="s">
        <v>672</v>
      </c>
      <c r="G24" s="12" t="s">
        <v>14</v>
      </c>
      <c r="H24" s="55" t="s">
        <v>11</v>
      </c>
      <c r="I24" s="14" t="s">
        <v>101</v>
      </c>
      <c r="J24" s="12" t="s">
        <v>112</v>
      </c>
      <c r="K24" s="12" t="s">
        <v>107</v>
      </c>
      <c r="L24" s="12"/>
      <c r="M24" s="65" t="s">
        <v>712</v>
      </c>
      <c r="N24" s="55" t="s">
        <v>105</v>
      </c>
      <c r="O24" s="1" t="s">
        <v>105</v>
      </c>
      <c r="P24" s="1"/>
      <c r="Q24" s="1"/>
      <c r="R24" s="1"/>
      <c r="S24" s="1"/>
      <c r="T24" s="1" t="s">
        <v>105</v>
      </c>
      <c r="U24" s="1" t="s">
        <v>105</v>
      </c>
      <c r="V24" s="1"/>
      <c r="W24" s="1" t="s">
        <v>105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61"/>
      <c r="AK24" s="9" t="s">
        <v>702</v>
      </c>
    </row>
    <row r="25" spans="1:37" ht="30">
      <c r="A25" s="14" t="s">
        <v>97</v>
      </c>
      <c r="B25" s="229" t="s">
        <v>97</v>
      </c>
      <c r="C25" s="31" t="s">
        <v>702</v>
      </c>
      <c r="D25" s="31"/>
      <c r="E25" s="12" t="s">
        <v>713</v>
      </c>
      <c r="F25" s="12" t="s">
        <v>672</v>
      </c>
      <c r="G25" s="12" t="s">
        <v>14</v>
      </c>
      <c r="H25" s="55" t="s">
        <v>11</v>
      </c>
      <c r="I25" s="14" t="s">
        <v>101</v>
      </c>
      <c r="J25" s="12" t="s">
        <v>112</v>
      </c>
      <c r="K25" s="12" t="s">
        <v>107</v>
      </c>
      <c r="L25" s="12"/>
      <c r="M25" s="65" t="s">
        <v>704</v>
      </c>
      <c r="N25" s="55" t="s">
        <v>105</v>
      </c>
      <c r="O25" s="1"/>
      <c r="P25" s="1"/>
      <c r="Q25" s="1"/>
      <c r="R25" s="1"/>
      <c r="S25" s="1"/>
      <c r="T25" s="1" t="s">
        <v>105</v>
      </c>
      <c r="U25" s="1" t="s">
        <v>705</v>
      </c>
      <c r="V25" s="1"/>
      <c r="W25" s="1" t="s">
        <v>105</v>
      </c>
      <c r="X25" s="1"/>
      <c r="Y25" s="1"/>
      <c r="Z25" s="1"/>
      <c r="AA25" s="1" t="s">
        <v>105</v>
      </c>
      <c r="AB25" s="1"/>
      <c r="AC25" s="1"/>
      <c r="AD25" s="1"/>
      <c r="AE25" s="1"/>
      <c r="AF25" s="1"/>
      <c r="AG25" s="1"/>
      <c r="AH25" s="1"/>
      <c r="AI25" s="61"/>
      <c r="AK25" s="9" t="s">
        <v>702</v>
      </c>
    </row>
    <row r="26" spans="1:37" ht="30">
      <c r="A26" s="14" t="s">
        <v>97</v>
      </c>
      <c r="B26" s="229" t="s">
        <v>97</v>
      </c>
      <c r="C26" s="31" t="s">
        <v>702</v>
      </c>
      <c r="D26" s="31"/>
      <c r="E26" s="12" t="s">
        <v>714</v>
      </c>
      <c r="F26" s="12" t="s">
        <v>672</v>
      </c>
      <c r="G26" s="12" t="s">
        <v>14</v>
      </c>
      <c r="H26" s="55" t="s">
        <v>11</v>
      </c>
      <c r="I26" s="14" t="s">
        <v>101</v>
      </c>
      <c r="J26" s="12" t="s">
        <v>112</v>
      </c>
      <c r="K26" s="12" t="s">
        <v>107</v>
      </c>
      <c r="L26" s="12"/>
      <c r="M26" s="65" t="s">
        <v>103</v>
      </c>
      <c r="N26" s="55"/>
      <c r="O26" s="1"/>
      <c r="P26" s="1"/>
      <c r="Q26" s="1"/>
      <c r="R26" s="1"/>
      <c r="S26" s="1"/>
      <c r="T26" s="14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61"/>
      <c r="AK26" s="9" t="s">
        <v>702</v>
      </c>
    </row>
    <row r="27" spans="1:37" ht="30">
      <c r="A27" s="14" t="s">
        <v>97</v>
      </c>
      <c r="B27" s="229" t="s">
        <v>97</v>
      </c>
      <c r="C27" s="31" t="s">
        <v>685</v>
      </c>
      <c r="D27" s="31"/>
      <c r="E27" s="12" t="s">
        <v>715</v>
      </c>
      <c r="F27" s="13" t="s">
        <v>672</v>
      </c>
      <c r="G27" s="12" t="s">
        <v>14</v>
      </c>
      <c r="H27" s="55" t="s">
        <v>11</v>
      </c>
      <c r="I27" s="1" t="s">
        <v>101</v>
      </c>
      <c r="J27" s="12" t="s">
        <v>112</v>
      </c>
      <c r="K27" s="12" t="s">
        <v>107</v>
      </c>
      <c r="L27" s="12"/>
      <c r="M27" s="12" t="s">
        <v>716</v>
      </c>
      <c r="N27" s="55"/>
      <c r="O27" s="55"/>
      <c r="P27" s="55"/>
      <c r="Q27" s="55"/>
      <c r="R27" s="55"/>
      <c r="S27" s="14"/>
      <c r="T27" s="14" t="s">
        <v>122</v>
      </c>
      <c r="U27" s="14" t="s">
        <v>122</v>
      </c>
      <c r="V27" s="14"/>
      <c r="W27" s="14" t="s">
        <v>105</v>
      </c>
      <c r="X27" s="14"/>
      <c r="Y27" s="14"/>
      <c r="Z27" s="14"/>
      <c r="AA27" s="14" t="s">
        <v>105</v>
      </c>
      <c r="AB27" s="14"/>
      <c r="AC27" s="14"/>
      <c r="AD27" s="14"/>
      <c r="AE27" s="14"/>
      <c r="AF27" s="14"/>
      <c r="AG27" s="14"/>
      <c r="AH27" s="14"/>
      <c r="AI27" s="61"/>
      <c r="AK27" s="9" t="s">
        <v>685</v>
      </c>
    </row>
    <row r="28" spans="1:37">
      <c r="A28" s="14" t="s">
        <v>97</v>
      </c>
      <c r="B28" s="229" t="s">
        <v>97</v>
      </c>
      <c r="C28" s="31" t="s">
        <v>685</v>
      </c>
      <c r="D28" s="31"/>
      <c r="E28" s="12" t="s">
        <v>717</v>
      </c>
      <c r="F28" s="12" t="s">
        <v>672</v>
      </c>
      <c r="G28" s="12" t="s">
        <v>673</v>
      </c>
      <c r="H28" s="55" t="s">
        <v>14</v>
      </c>
      <c r="I28" s="14" t="s">
        <v>101</v>
      </c>
      <c r="J28" s="12" t="s">
        <v>103</v>
      </c>
      <c r="K28" s="12" t="s">
        <v>107</v>
      </c>
      <c r="L28" s="12"/>
      <c r="M28" s="65" t="s">
        <v>676</v>
      </c>
      <c r="N28" s="1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61"/>
      <c r="AK28" s="9" t="s">
        <v>685</v>
      </c>
    </row>
    <row r="29" spans="1:37" ht="30">
      <c r="A29" s="14" t="s">
        <v>97</v>
      </c>
      <c r="B29" s="229" t="s">
        <v>97</v>
      </c>
      <c r="C29" s="31" t="s">
        <v>685</v>
      </c>
      <c r="D29" s="31"/>
      <c r="E29" s="12" t="s">
        <v>718</v>
      </c>
      <c r="F29" s="12" t="s">
        <v>672</v>
      </c>
      <c r="G29" s="12" t="s">
        <v>14</v>
      </c>
      <c r="H29" s="55" t="s">
        <v>11</v>
      </c>
      <c r="I29" s="14" t="s">
        <v>101</v>
      </c>
      <c r="J29" s="12" t="s">
        <v>112</v>
      </c>
      <c r="K29" s="12" t="s">
        <v>107</v>
      </c>
      <c r="L29" s="12"/>
      <c r="M29" s="65" t="s">
        <v>719</v>
      </c>
      <c r="N29" s="55"/>
      <c r="O29" s="1"/>
      <c r="P29" s="1"/>
      <c r="Q29" s="1"/>
      <c r="R29" s="1"/>
      <c r="S29" s="1"/>
      <c r="T29" s="1" t="s">
        <v>105</v>
      </c>
      <c r="U29" s="1" t="s">
        <v>105</v>
      </c>
      <c r="V29" s="1"/>
      <c r="W29" s="1" t="s">
        <v>105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61"/>
      <c r="AK29" s="9" t="s">
        <v>685</v>
      </c>
    </row>
    <row r="30" spans="1:37" ht="30">
      <c r="A30" s="14" t="s">
        <v>97</v>
      </c>
      <c r="B30" s="229" t="s">
        <v>97</v>
      </c>
      <c r="C30" s="31" t="s">
        <v>685</v>
      </c>
      <c r="D30" s="31"/>
      <c r="E30" s="12" t="s">
        <v>720</v>
      </c>
      <c r="F30" s="12" t="s">
        <v>672</v>
      </c>
      <c r="G30" s="12" t="s">
        <v>14</v>
      </c>
      <c r="H30" s="55" t="s">
        <v>11</v>
      </c>
      <c r="I30" s="14" t="s">
        <v>101</v>
      </c>
      <c r="J30" s="12" t="s">
        <v>112</v>
      </c>
      <c r="K30" s="12" t="s">
        <v>107</v>
      </c>
      <c r="L30" s="12"/>
      <c r="M30" s="65" t="s">
        <v>721</v>
      </c>
      <c r="N30" s="55"/>
      <c r="O30" s="1"/>
      <c r="P30" s="1"/>
      <c r="Q30" s="1"/>
      <c r="R30" s="1"/>
      <c r="S30" s="1"/>
      <c r="T30" s="1"/>
      <c r="U30" s="1"/>
      <c r="V30" s="1"/>
      <c r="W30" s="1" t="s">
        <v>105</v>
      </c>
      <c r="X30" s="1"/>
      <c r="Y30" s="1"/>
      <c r="Z30" s="1"/>
      <c r="AA30" s="1" t="s">
        <v>105</v>
      </c>
      <c r="AB30" s="1"/>
      <c r="AC30" s="1"/>
      <c r="AD30" s="1"/>
      <c r="AE30" s="1"/>
      <c r="AF30" s="1"/>
      <c r="AG30" s="1"/>
      <c r="AH30" s="1"/>
      <c r="AI30" s="61"/>
      <c r="AK30" s="9" t="s">
        <v>685</v>
      </c>
    </row>
    <row r="31" spans="1:37" ht="30">
      <c r="A31" s="14" t="s">
        <v>97</v>
      </c>
      <c r="B31" s="229" t="s">
        <v>97</v>
      </c>
      <c r="C31" s="31" t="s">
        <v>685</v>
      </c>
      <c r="D31" s="31"/>
      <c r="E31" s="12" t="s">
        <v>722</v>
      </c>
      <c r="F31" s="12" t="s">
        <v>672</v>
      </c>
      <c r="G31" s="12" t="s">
        <v>14</v>
      </c>
      <c r="H31" s="55" t="s">
        <v>11</v>
      </c>
      <c r="I31" s="14" t="s">
        <v>101</v>
      </c>
      <c r="J31" s="12" t="s">
        <v>112</v>
      </c>
      <c r="K31" s="12" t="s">
        <v>107</v>
      </c>
      <c r="L31" s="12"/>
      <c r="M31" s="65" t="s">
        <v>723</v>
      </c>
      <c r="N31" s="55"/>
      <c r="O31" s="1"/>
      <c r="P31" s="1"/>
      <c r="Q31" s="1"/>
      <c r="R31" s="1"/>
      <c r="S31" s="1"/>
      <c r="T31" s="1" t="s">
        <v>122</v>
      </c>
      <c r="U31" s="1" t="s">
        <v>122</v>
      </c>
      <c r="V31" s="1"/>
      <c r="W31" s="1" t="s">
        <v>105</v>
      </c>
      <c r="X31" s="1"/>
      <c r="Y31" s="1"/>
      <c r="Z31" s="1"/>
      <c r="AA31" s="1" t="s">
        <v>105</v>
      </c>
      <c r="AB31" s="1"/>
      <c r="AC31" s="1"/>
      <c r="AD31" s="1"/>
      <c r="AE31" s="1"/>
      <c r="AF31" s="1"/>
      <c r="AG31" s="1"/>
      <c r="AH31" s="1"/>
      <c r="AI31" s="61"/>
      <c r="AK31" s="9" t="s">
        <v>685</v>
      </c>
    </row>
    <row r="32" spans="1:37" ht="30">
      <c r="A32" s="14" t="s">
        <v>97</v>
      </c>
      <c r="B32" s="229" t="s">
        <v>97</v>
      </c>
      <c r="C32" s="31" t="s">
        <v>685</v>
      </c>
      <c r="D32" s="31"/>
      <c r="E32" s="12" t="s">
        <v>724</v>
      </c>
      <c r="F32" s="13" t="s">
        <v>672</v>
      </c>
      <c r="G32" s="12" t="s">
        <v>14</v>
      </c>
      <c r="H32" s="55" t="s">
        <v>11</v>
      </c>
      <c r="I32" s="1" t="s">
        <v>101</v>
      </c>
      <c r="J32" s="12" t="s">
        <v>112</v>
      </c>
      <c r="K32" s="12" t="s">
        <v>107</v>
      </c>
      <c r="L32" s="12"/>
      <c r="M32" s="12" t="s">
        <v>725</v>
      </c>
      <c r="N32" s="55"/>
      <c r="O32" s="55"/>
      <c r="P32" s="55"/>
      <c r="Q32" s="55"/>
      <c r="R32" s="55"/>
      <c r="S32" s="14"/>
      <c r="T32" s="14" t="s">
        <v>105</v>
      </c>
      <c r="U32" s="14"/>
      <c r="V32" s="14"/>
      <c r="W32" s="14" t="s">
        <v>105</v>
      </c>
      <c r="X32" s="14"/>
      <c r="Y32" s="14"/>
      <c r="Z32" s="14"/>
      <c r="AA32" s="14" t="s">
        <v>105</v>
      </c>
      <c r="AB32" s="14"/>
      <c r="AC32" s="14"/>
      <c r="AD32" s="14"/>
      <c r="AE32" s="14"/>
      <c r="AF32" s="14"/>
      <c r="AG32" s="14"/>
      <c r="AH32" s="14"/>
      <c r="AI32" s="61"/>
      <c r="AK32" s="9" t="s">
        <v>685</v>
      </c>
    </row>
    <row r="33" spans="1:37" ht="30">
      <c r="A33" s="14" t="s">
        <v>97</v>
      </c>
      <c r="B33" s="229" t="s">
        <v>97</v>
      </c>
      <c r="C33" s="31" t="s">
        <v>685</v>
      </c>
      <c r="D33" s="31"/>
      <c r="E33" s="12" t="s">
        <v>726</v>
      </c>
      <c r="F33" s="12" t="s">
        <v>672</v>
      </c>
      <c r="G33" s="12" t="s">
        <v>14</v>
      </c>
      <c r="H33" s="55" t="s">
        <v>11</v>
      </c>
      <c r="I33" s="14" t="s">
        <v>101</v>
      </c>
      <c r="J33" s="12" t="s">
        <v>112</v>
      </c>
      <c r="K33" s="12" t="s">
        <v>107</v>
      </c>
      <c r="L33" s="12"/>
      <c r="M33" s="65" t="s">
        <v>727</v>
      </c>
      <c r="N33" s="55"/>
      <c r="O33" s="1"/>
      <c r="P33" s="1"/>
      <c r="Q33" s="1"/>
      <c r="R33" s="1"/>
      <c r="S33" s="1"/>
      <c r="T33" s="1" t="s">
        <v>105</v>
      </c>
      <c r="U33" s="1"/>
      <c r="V33" s="1"/>
      <c r="W33" s="1" t="s">
        <v>105</v>
      </c>
      <c r="X33" s="1"/>
      <c r="Y33" s="1"/>
      <c r="Z33" s="1"/>
      <c r="AA33" s="1" t="s">
        <v>105</v>
      </c>
      <c r="AB33" s="1"/>
      <c r="AC33" s="1"/>
      <c r="AD33" s="1"/>
      <c r="AE33" s="1"/>
      <c r="AF33" s="1"/>
      <c r="AG33" s="1"/>
      <c r="AH33" s="1"/>
      <c r="AI33" s="61"/>
      <c r="AK33" s="9" t="s">
        <v>685</v>
      </c>
    </row>
    <row r="34" spans="1:37" ht="30">
      <c r="A34" s="14" t="s">
        <v>97</v>
      </c>
      <c r="B34" s="229" t="s">
        <v>97</v>
      </c>
      <c r="C34" s="1" t="s">
        <v>728</v>
      </c>
      <c r="D34" s="1"/>
      <c r="E34" s="12" t="s">
        <v>729</v>
      </c>
      <c r="F34" s="12" t="s">
        <v>409</v>
      </c>
      <c r="G34" s="1" t="s">
        <v>12</v>
      </c>
      <c r="H34" s="55" t="s">
        <v>11</v>
      </c>
      <c r="I34" s="14" t="s">
        <v>145</v>
      </c>
      <c r="J34" s="12" t="s">
        <v>151</v>
      </c>
      <c r="K34" s="12" t="s">
        <v>107</v>
      </c>
      <c r="L34" s="12"/>
      <c r="M34" s="65" t="s">
        <v>147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61"/>
      <c r="AK34" s="1" t="s">
        <v>728</v>
      </c>
    </row>
    <row r="35" spans="1:37" ht="30">
      <c r="A35" s="14" t="s">
        <v>97</v>
      </c>
      <c r="B35" s="59" t="s">
        <v>97</v>
      </c>
      <c r="C35" s="167" t="s">
        <v>728</v>
      </c>
      <c r="D35" s="167"/>
      <c r="E35" s="13" t="s">
        <v>730</v>
      </c>
      <c r="F35" s="13" t="s">
        <v>731</v>
      </c>
      <c r="G35" s="12" t="s">
        <v>14</v>
      </c>
      <c r="H35" s="55" t="s">
        <v>11</v>
      </c>
      <c r="I35" s="14" t="s">
        <v>145</v>
      </c>
      <c r="J35" s="12" t="s">
        <v>151</v>
      </c>
      <c r="K35" s="12" t="s">
        <v>107</v>
      </c>
      <c r="L35" s="12"/>
      <c r="M35" s="12" t="s">
        <v>147</v>
      </c>
      <c r="N35" s="55"/>
      <c r="O35" s="55"/>
      <c r="P35" s="55"/>
      <c r="Q35" s="55"/>
      <c r="R35" s="55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61"/>
      <c r="AK35" s="167" t="s">
        <v>728</v>
      </c>
    </row>
    <row r="36" spans="1:37" ht="30">
      <c r="A36" s="14" t="s">
        <v>97</v>
      </c>
      <c r="B36" s="59" t="s">
        <v>97</v>
      </c>
      <c r="C36" s="1" t="s">
        <v>728</v>
      </c>
      <c r="D36" s="1"/>
      <c r="E36" s="13" t="s">
        <v>732</v>
      </c>
      <c r="F36" s="13" t="s">
        <v>731</v>
      </c>
      <c r="G36" s="12" t="s">
        <v>14</v>
      </c>
      <c r="H36" s="55" t="s">
        <v>11</v>
      </c>
      <c r="I36" s="14" t="s">
        <v>145</v>
      </c>
      <c r="J36" s="12" t="s">
        <v>119</v>
      </c>
      <c r="K36" s="12" t="s">
        <v>107</v>
      </c>
      <c r="L36" s="12"/>
      <c r="M36" s="12" t="s">
        <v>147</v>
      </c>
      <c r="N36" s="55"/>
      <c r="O36" s="55"/>
      <c r="P36" s="55"/>
      <c r="Q36" s="55"/>
      <c r="R36" s="55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61"/>
      <c r="AK36" s="1" t="s">
        <v>728</v>
      </c>
    </row>
    <row r="37" spans="1:37" ht="45">
      <c r="A37" s="14" t="s">
        <v>97</v>
      </c>
      <c r="B37" s="229" t="s">
        <v>97</v>
      </c>
      <c r="C37" s="31" t="s">
        <v>733</v>
      </c>
      <c r="D37" s="31"/>
      <c r="E37" s="12" t="s">
        <v>734</v>
      </c>
      <c r="F37" s="13" t="s">
        <v>731</v>
      </c>
      <c r="G37" s="12" t="s">
        <v>14</v>
      </c>
      <c r="H37" s="55" t="s">
        <v>11</v>
      </c>
      <c r="I37" s="14" t="s">
        <v>101</v>
      </c>
      <c r="J37" s="12" t="s">
        <v>112</v>
      </c>
      <c r="K37" s="12" t="s">
        <v>674</v>
      </c>
      <c r="L37" s="12"/>
      <c r="M37" s="12" t="s">
        <v>735</v>
      </c>
      <c r="N37" s="55"/>
      <c r="O37" s="55"/>
      <c r="P37" s="1" t="s">
        <v>105</v>
      </c>
      <c r="Q37" s="1" t="s">
        <v>105</v>
      </c>
      <c r="R37" s="1"/>
      <c r="S37" s="1"/>
      <c r="T37" s="1" t="s">
        <v>105</v>
      </c>
      <c r="U37" s="1" t="s">
        <v>105</v>
      </c>
      <c r="V37" s="1"/>
      <c r="W37" s="1" t="s">
        <v>105</v>
      </c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61"/>
      <c r="AK37" s="9" t="s">
        <v>733</v>
      </c>
    </row>
    <row r="38" spans="1:37" ht="30">
      <c r="A38" s="14" t="s">
        <v>97</v>
      </c>
      <c r="B38" s="59" t="s">
        <v>97</v>
      </c>
      <c r="C38" s="1" t="s">
        <v>728</v>
      </c>
      <c r="D38" s="1"/>
      <c r="E38" s="13" t="s">
        <v>736</v>
      </c>
      <c r="F38" s="13" t="s">
        <v>731</v>
      </c>
      <c r="G38" s="12" t="s">
        <v>14</v>
      </c>
      <c r="H38" s="55" t="s">
        <v>11</v>
      </c>
      <c r="I38" s="14" t="s">
        <v>145</v>
      </c>
      <c r="J38" s="12" t="s">
        <v>119</v>
      </c>
      <c r="K38" s="12" t="s">
        <v>107</v>
      </c>
      <c r="L38" s="12"/>
      <c r="M38" s="12" t="s">
        <v>147</v>
      </c>
      <c r="N38" s="55"/>
      <c r="O38" s="55"/>
      <c r="P38" s="55"/>
      <c r="Q38" s="55"/>
      <c r="R38" s="55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61"/>
      <c r="AK38" s="1" t="s">
        <v>728</v>
      </c>
    </row>
    <row r="39" spans="1:37" ht="30">
      <c r="A39" s="14" t="s">
        <v>97</v>
      </c>
      <c r="B39" s="229" t="s">
        <v>97</v>
      </c>
      <c r="C39" s="31" t="s">
        <v>705</v>
      </c>
      <c r="D39" s="31"/>
      <c r="E39" s="12" t="s">
        <v>737</v>
      </c>
      <c r="F39" s="1" t="s">
        <v>103</v>
      </c>
      <c r="G39" s="12" t="s">
        <v>14</v>
      </c>
      <c r="H39" s="55" t="s">
        <v>11</v>
      </c>
      <c r="I39" s="14" t="s">
        <v>101</v>
      </c>
      <c r="J39" s="12" t="s">
        <v>112</v>
      </c>
      <c r="K39" s="1" t="s">
        <v>103</v>
      </c>
      <c r="L39" s="12"/>
      <c r="M39" s="65" t="s">
        <v>738</v>
      </c>
      <c r="N39" s="55"/>
      <c r="O39" s="1"/>
      <c r="P39" s="1"/>
      <c r="Q39" s="1" t="s">
        <v>105</v>
      </c>
      <c r="R39" s="1"/>
      <c r="S39" s="1"/>
      <c r="T39" s="1"/>
      <c r="U39" s="1" t="s">
        <v>105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61"/>
      <c r="AK39" s="9" t="s">
        <v>705</v>
      </c>
    </row>
    <row r="40" spans="1:37" ht="30">
      <c r="A40" s="14" t="s">
        <v>97</v>
      </c>
      <c r="B40" s="229" t="s">
        <v>97</v>
      </c>
      <c r="C40" s="31" t="s">
        <v>705</v>
      </c>
      <c r="D40" s="31"/>
      <c r="E40" s="12" t="s">
        <v>739</v>
      </c>
      <c r="F40" s="12" t="s">
        <v>672</v>
      </c>
      <c r="G40" s="12" t="s">
        <v>14</v>
      </c>
      <c r="H40" s="55" t="s">
        <v>11</v>
      </c>
      <c r="I40" s="1" t="s">
        <v>101</v>
      </c>
      <c r="J40" s="12" t="s">
        <v>112</v>
      </c>
      <c r="K40" s="12" t="s">
        <v>107</v>
      </c>
      <c r="L40" s="12"/>
      <c r="M40" s="65" t="s">
        <v>740</v>
      </c>
      <c r="N40" s="55"/>
      <c r="O40" s="1"/>
      <c r="P40" s="1"/>
      <c r="Q40" s="1"/>
      <c r="R40" s="1"/>
      <c r="S40" s="1"/>
      <c r="T40" s="14" t="s">
        <v>105</v>
      </c>
      <c r="U40" s="1" t="s">
        <v>105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61"/>
      <c r="AK40" s="9" t="s">
        <v>705</v>
      </c>
    </row>
    <row r="41" spans="1:37" ht="30">
      <c r="A41" s="14" t="s">
        <v>97</v>
      </c>
      <c r="B41" s="229" t="s">
        <v>97</v>
      </c>
      <c r="C41" s="31" t="s">
        <v>741</v>
      </c>
      <c r="D41" s="31"/>
      <c r="E41" s="12" t="s">
        <v>742</v>
      </c>
      <c r="F41" s="12" t="s">
        <v>672</v>
      </c>
      <c r="G41" s="12" t="s">
        <v>14</v>
      </c>
      <c r="H41" s="55" t="s">
        <v>11</v>
      </c>
      <c r="I41" s="1" t="s">
        <v>101</v>
      </c>
      <c r="J41" s="12" t="s">
        <v>112</v>
      </c>
      <c r="K41" s="12" t="s">
        <v>107</v>
      </c>
      <c r="L41" s="12"/>
      <c r="M41" s="65" t="s">
        <v>743</v>
      </c>
      <c r="N41" s="55"/>
      <c r="O41" s="1"/>
      <c r="P41" s="1"/>
      <c r="Q41" s="1"/>
      <c r="R41" s="1"/>
      <c r="S41" s="1"/>
      <c r="T41" s="1" t="s">
        <v>105</v>
      </c>
      <c r="U41" s="1"/>
      <c r="V41" s="1"/>
      <c r="W41" s="1" t="s">
        <v>105</v>
      </c>
      <c r="X41" s="1"/>
      <c r="Y41" s="1"/>
      <c r="Z41" s="1"/>
      <c r="AA41" s="1" t="s">
        <v>105</v>
      </c>
      <c r="AB41" s="1"/>
      <c r="AC41" s="1"/>
      <c r="AD41" s="1"/>
      <c r="AE41" s="1"/>
      <c r="AF41" s="1"/>
      <c r="AG41" s="1"/>
      <c r="AH41" s="1"/>
      <c r="AI41" s="61"/>
      <c r="AK41" s="9" t="s">
        <v>741</v>
      </c>
    </row>
    <row r="42" spans="1:37" ht="30">
      <c r="A42" s="14" t="s">
        <v>97</v>
      </c>
      <c r="B42" s="229" t="s">
        <v>97</v>
      </c>
      <c r="C42" s="1" t="s">
        <v>741</v>
      </c>
      <c r="D42" s="1"/>
      <c r="E42" s="12" t="s">
        <v>744</v>
      </c>
      <c r="F42" s="12" t="s">
        <v>672</v>
      </c>
      <c r="G42" s="12" t="s">
        <v>14</v>
      </c>
      <c r="H42" s="55" t="s">
        <v>11</v>
      </c>
      <c r="I42" s="1" t="s">
        <v>101</v>
      </c>
      <c r="J42" s="12" t="s">
        <v>112</v>
      </c>
      <c r="K42" s="12" t="s">
        <v>107</v>
      </c>
      <c r="L42" s="12"/>
      <c r="M42" s="65" t="s">
        <v>745</v>
      </c>
      <c r="N42" s="55"/>
      <c r="O42" s="1"/>
      <c r="P42" s="1"/>
      <c r="Q42" s="1"/>
      <c r="R42" s="1"/>
      <c r="S42" s="1"/>
      <c r="T42" s="1" t="s">
        <v>105</v>
      </c>
      <c r="U42" s="1" t="s">
        <v>105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61"/>
      <c r="AK42" s="1" t="s">
        <v>741</v>
      </c>
    </row>
    <row r="43" spans="1:37" ht="30">
      <c r="A43" s="14" t="s">
        <v>97</v>
      </c>
      <c r="B43" s="229" t="s">
        <v>97</v>
      </c>
      <c r="C43" s="167" t="s">
        <v>741</v>
      </c>
      <c r="D43" s="167"/>
      <c r="E43" s="12" t="s">
        <v>746</v>
      </c>
      <c r="F43" s="12" t="s">
        <v>672</v>
      </c>
      <c r="G43" s="12" t="s">
        <v>14</v>
      </c>
      <c r="H43" s="55" t="s">
        <v>11</v>
      </c>
      <c r="I43" s="1" t="s">
        <v>101</v>
      </c>
      <c r="J43" s="12" t="s">
        <v>112</v>
      </c>
      <c r="K43" s="12" t="s">
        <v>107</v>
      </c>
      <c r="L43" s="12"/>
      <c r="M43" s="65" t="s">
        <v>745</v>
      </c>
      <c r="N43" s="55"/>
      <c r="O43" s="1"/>
      <c r="P43" s="1"/>
      <c r="Q43" s="1"/>
      <c r="R43" s="1"/>
      <c r="S43" s="1"/>
      <c r="T43" s="1" t="s">
        <v>105</v>
      </c>
      <c r="U43" s="1" t="s">
        <v>105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61"/>
      <c r="AK43" s="167" t="s">
        <v>741</v>
      </c>
    </row>
    <row r="44" spans="1:37" ht="30">
      <c r="A44" s="14" t="s">
        <v>97</v>
      </c>
      <c r="B44" s="229" t="s">
        <v>96</v>
      </c>
      <c r="C44" s="1" t="s">
        <v>741</v>
      </c>
      <c r="D44" s="1"/>
      <c r="E44" s="12" t="s">
        <v>747</v>
      </c>
      <c r="F44" s="12" t="s">
        <v>672</v>
      </c>
      <c r="G44" s="12" t="s">
        <v>14</v>
      </c>
      <c r="H44" s="55" t="s">
        <v>11</v>
      </c>
      <c r="I44" s="1" t="s">
        <v>101</v>
      </c>
      <c r="J44" s="12" t="s">
        <v>112</v>
      </c>
      <c r="K44" s="12" t="s">
        <v>107</v>
      </c>
      <c r="L44" s="12"/>
      <c r="M44" s="65" t="s">
        <v>748</v>
      </c>
      <c r="N44" s="55"/>
      <c r="O44" s="1"/>
      <c r="P44" s="1"/>
      <c r="Q44" s="1"/>
      <c r="R44" s="1"/>
      <c r="S44" s="1"/>
      <c r="T44" s="1" t="s">
        <v>122</v>
      </c>
      <c r="U44" s="1" t="s">
        <v>105</v>
      </c>
      <c r="V44" s="1"/>
      <c r="W44" s="1"/>
      <c r="X44" s="1"/>
      <c r="Y44" s="1"/>
      <c r="Z44" s="1"/>
      <c r="AA44" s="1" t="s">
        <v>105</v>
      </c>
      <c r="AB44" s="1"/>
      <c r="AC44" s="1"/>
      <c r="AD44" s="1"/>
      <c r="AE44" s="1"/>
      <c r="AF44" s="1"/>
      <c r="AG44" s="1"/>
      <c r="AH44" s="1"/>
      <c r="AI44" s="61"/>
      <c r="AK44" s="1" t="s">
        <v>741</v>
      </c>
    </row>
    <row r="45" spans="1:37" ht="30">
      <c r="A45" s="14" t="s">
        <v>97</v>
      </c>
      <c r="B45" s="229" t="s">
        <v>97</v>
      </c>
      <c r="C45" s="167" t="s">
        <v>749</v>
      </c>
      <c r="D45" s="167"/>
      <c r="E45" s="12" t="s">
        <v>750</v>
      </c>
      <c r="F45" s="12" t="s">
        <v>672</v>
      </c>
      <c r="G45" s="12" t="s">
        <v>14</v>
      </c>
      <c r="H45" s="55" t="s">
        <v>11</v>
      </c>
      <c r="I45" s="1" t="s">
        <v>101</v>
      </c>
      <c r="J45" s="12" t="s">
        <v>112</v>
      </c>
      <c r="K45" s="12" t="s">
        <v>107</v>
      </c>
      <c r="L45" s="12"/>
      <c r="M45" s="65" t="s">
        <v>751</v>
      </c>
      <c r="N45" s="55"/>
      <c r="O45" s="1"/>
      <c r="P45" s="1"/>
      <c r="Q45" s="1"/>
      <c r="R45" s="1"/>
      <c r="S45" s="1"/>
      <c r="T45" s="14" t="s">
        <v>105</v>
      </c>
      <c r="U45" s="1" t="s">
        <v>105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61"/>
      <c r="AK45" s="167" t="s">
        <v>749</v>
      </c>
    </row>
    <row r="46" spans="1:37" ht="30">
      <c r="A46" s="14" t="s">
        <v>97</v>
      </c>
      <c r="B46" s="229" t="s">
        <v>97</v>
      </c>
      <c r="C46" s="1" t="s">
        <v>741</v>
      </c>
      <c r="D46" s="1"/>
      <c r="E46" s="12" t="s">
        <v>752</v>
      </c>
      <c r="F46" s="12" t="s">
        <v>672</v>
      </c>
      <c r="G46" s="12" t="s">
        <v>14</v>
      </c>
      <c r="H46" s="55" t="s">
        <v>11</v>
      </c>
      <c r="I46" s="1" t="s">
        <v>101</v>
      </c>
      <c r="J46" s="12" t="s">
        <v>112</v>
      </c>
      <c r="K46" s="12" t="s">
        <v>107</v>
      </c>
      <c r="L46" s="12"/>
      <c r="M46" s="65" t="s">
        <v>753</v>
      </c>
      <c r="N46" s="55"/>
      <c r="O46" s="1"/>
      <c r="P46" s="1" t="s">
        <v>754</v>
      </c>
      <c r="Q46" s="1"/>
      <c r="R46" s="1"/>
      <c r="S46" s="1"/>
      <c r="T46" s="1" t="s">
        <v>105</v>
      </c>
      <c r="U46" s="1" t="s">
        <v>105</v>
      </c>
      <c r="V46" s="1"/>
      <c r="W46" s="1" t="s">
        <v>105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61"/>
      <c r="AK46" s="1" t="s">
        <v>741</v>
      </c>
    </row>
    <row r="47" spans="1:37" ht="30">
      <c r="A47" s="14" t="s">
        <v>97</v>
      </c>
      <c r="B47" s="59" t="s">
        <v>97</v>
      </c>
      <c r="C47" s="31" t="s">
        <v>755</v>
      </c>
      <c r="D47" s="31"/>
      <c r="E47" s="13" t="s">
        <v>756</v>
      </c>
      <c r="F47" s="12" t="s">
        <v>757</v>
      </c>
      <c r="G47" s="12" t="s">
        <v>14</v>
      </c>
      <c r="H47" s="55" t="s">
        <v>11</v>
      </c>
      <c r="I47" s="1" t="s">
        <v>101</v>
      </c>
      <c r="J47" s="12" t="s">
        <v>112</v>
      </c>
      <c r="K47" s="12" t="s">
        <v>107</v>
      </c>
      <c r="L47" s="12"/>
      <c r="M47" s="12" t="s">
        <v>758</v>
      </c>
      <c r="N47" s="55"/>
      <c r="O47" s="55"/>
      <c r="P47" s="55"/>
      <c r="Q47" s="55" t="s">
        <v>105</v>
      </c>
      <c r="R47" s="55"/>
      <c r="S47" s="14"/>
      <c r="T47" s="14"/>
      <c r="U47" s="14" t="s">
        <v>105</v>
      </c>
      <c r="V47" s="14"/>
      <c r="W47" s="14" t="s">
        <v>105</v>
      </c>
      <c r="X47" s="14"/>
      <c r="Y47" s="14"/>
      <c r="Z47" s="14"/>
      <c r="AA47" s="14" t="s">
        <v>122</v>
      </c>
      <c r="AB47" s="14"/>
      <c r="AC47" s="14"/>
      <c r="AD47" s="14"/>
      <c r="AE47" s="14"/>
      <c r="AF47" s="14"/>
      <c r="AG47" s="14"/>
      <c r="AH47" s="14"/>
      <c r="AI47" s="61" t="s">
        <v>759</v>
      </c>
      <c r="AK47" s="9" t="s">
        <v>755</v>
      </c>
    </row>
    <row r="48" spans="1:37" ht="30">
      <c r="A48" s="14" t="s">
        <v>97</v>
      </c>
      <c r="B48" s="59" t="s">
        <v>97</v>
      </c>
      <c r="C48" s="31" t="s">
        <v>662</v>
      </c>
      <c r="D48" s="31"/>
      <c r="E48" s="13" t="s">
        <v>760</v>
      </c>
      <c r="F48" s="13" t="s">
        <v>687</v>
      </c>
      <c r="G48" s="12" t="s">
        <v>14</v>
      </c>
      <c r="H48" s="55" t="s">
        <v>11</v>
      </c>
      <c r="I48" s="1" t="s">
        <v>101</v>
      </c>
      <c r="J48" s="12" t="s">
        <v>112</v>
      </c>
      <c r="K48" s="12" t="s">
        <v>107</v>
      </c>
      <c r="L48" s="12"/>
      <c r="M48" s="12" t="s">
        <v>761</v>
      </c>
      <c r="N48" s="55"/>
      <c r="O48" s="55"/>
      <c r="P48" s="55"/>
      <c r="Q48" s="55"/>
      <c r="R48" s="55"/>
      <c r="S48" s="14"/>
      <c r="T48" s="14" t="s">
        <v>122</v>
      </c>
      <c r="U48" s="14" t="s">
        <v>122</v>
      </c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61"/>
      <c r="AK48" s="9" t="s">
        <v>662</v>
      </c>
    </row>
    <row r="49" spans="1:37" ht="30">
      <c r="A49" s="14" t="s">
        <v>97</v>
      </c>
      <c r="B49" s="59" t="s">
        <v>97</v>
      </c>
      <c r="C49" s="31" t="s">
        <v>662</v>
      </c>
      <c r="D49" s="31"/>
      <c r="E49" s="13" t="s">
        <v>762</v>
      </c>
      <c r="F49" s="13" t="s">
        <v>687</v>
      </c>
      <c r="G49" s="12" t="s">
        <v>14</v>
      </c>
      <c r="H49" s="55" t="s">
        <v>11</v>
      </c>
      <c r="I49" s="1" t="s">
        <v>101</v>
      </c>
      <c r="J49" s="12" t="s">
        <v>112</v>
      </c>
      <c r="K49" s="12" t="s">
        <v>107</v>
      </c>
      <c r="L49" s="12"/>
      <c r="M49" s="12" t="s">
        <v>763</v>
      </c>
      <c r="N49" s="55"/>
      <c r="O49" s="55"/>
      <c r="P49" s="55"/>
      <c r="Q49" s="55"/>
      <c r="R49" s="55"/>
      <c r="S49" s="14"/>
      <c r="T49" s="14"/>
      <c r="U49" s="14"/>
      <c r="V49" s="14"/>
      <c r="W49" s="14" t="s">
        <v>105</v>
      </c>
      <c r="X49" s="14"/>
      <c r="Y49" s="14" t="s">
        <v>105</v>
      </c>
      <c r="Z49" s="14"/>
      <c r="AA49" s="14" t="s">
        <v>105</v>
      </c>
      <c r="AB49" s="14"/>
      <c r="AC49" s="14"/>
      <c r="AD49" s="14"/>
      <c r="AE49" s="14"/>
      <c r="AF49" s="14"/>
      <c r="AG49" s="14"/>
      <c r="AH49" s="14"/>
      <c r="AI49" s="61"/>
      <c r="AK49" s="9" t="s">
        <v>662</v>
      </c>
    </row>
    <row r="50" spans="1:37" ht="45">
      <c r="A50" s="14" t="s">
        <v>97</v>
      </c>
      <c r="B50" s="229" t="s">
        <v>97</v>
      </c>
      <c r="C50" s="31" t="s">
        <v>662</v>
      </c>
      <c r="D50" s="31"/>
      <c r="E50" s="12" t="s">
        <v>764</v>
      </c>
      <c r="F50" s="12" t="s">
        <v>684</v>
      </c>
      <c r="G50" s="12" t="s">
        <v>673</v>
      </c>
      <c r="H50" s="55" t="s">
        <v>14</v>
      </c>
      <c r="I50" s="1" t="s">
        <v>101</v>
      </c>
      <c r="J50" s="12" t="s">
        <v>103</v>
      </c>
      <c r="K50" s="12" t="s">
        <v>674</v>
      </c>
      <c r="L50" s="12"/>
      <c r="M50" s="65" t="s">
        <v>676</v>
      </c>
      <c r="N50" s="5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61"/>
      <c r="AK50" s="9" t="s">
        <v>662</v>
      </c>
    </row>
    <row r="51" spans="1:37" ht="30">
      <c r="A51" s="14" t="s">
        <v>97</v>
      </c>
      <c r="B51" s="59" t="s">
        <v>97</v>
      </c>
      <c r="C51" s="31" t="s">
        <v>662</v>
      </c>
      <c r="D51" s="31"/>
      <c r="E51" s="13" t="s">
        <v>765</v>
      </c>
      <c r="F51" s="13" t="s">
        <v>687</v>
      </c>
      <c r="G51" s="12" t="s">
        <v>14</v>
      </c>
      <c r="H51" s="55" t="s">
        <v>11</v>
      </c>
      <c r="I51" s="1" t="s">
        <v>101</v>
      </c>
      <c r="J51" s="12" t="s">
        <v>112</v>
      </c>
      <c r="K51" s="12" t="s">
        <v>107</v>
      </c>
      <c r="L51" s="12"/>
      <c r="M51" s="12" t="s">
        <v>766</v>
      </c>
      <c r="N51" s="55"/>
      <c r="O51" s="55"/>
      <c r="P51" s="55"/>
      <c r="Q51" s="55"/>
      <c r="R51" s="55"/>
      <c r="S51" s="14"/>
      <c r="T51" s="14" t="s">
        <v>122</v>
      </c>
      <c r="U51" s="14" t="s">
        <v>122</v>
      </c>
      <c r="V51" s="14"/>
      <c r="W51" s="14" t="s">
        <v>105</v>
      </c>
      <c r="X51" s="14"/>
      <c r="Y51" s="14"/>
      <c r="Z51" s="14"/>
      <c r="AA51" s="14" t="s">
        <v>105</v>
      </c>
      <c r="AB51" s="14"/>
      <c r="AC51" s="14"/>
      <c r="AD51" s="14"/>
      <c r="AE51" s="14"/>
      <c r="AF51" s="14"/>
      <c r="AG51" s="14"/>
      <c r="AH51" s="14"/>
      <c r="AI51" s="61" t="s">
        <v>759</v>
      </c>
      <c r="AK51" s="78" t="s">
        <v>662</v>
      </c>
    </row>
    <row r="52" spans="1:37" ht="30">
      <c r="A52" s="14" t="s">
        <v>97</v>
      </c>
      <c r="B52" s="59" t="s">
        <v>97</v>
      </c>
      <c r="C52" s="31" t="s">
        <v>662</v>
      </c>
      <c r="D52" s="31"/>
      <c r="E52" s="13" t="s">
        <v>767</v>
      </c>
      <c r="F52" s="13" t="s">
        <v>687</v>
      </c>
      <c r="G52" s="12" t="s">
        <v>14</v>
      </c>
      <c r="H52" s="55" t="s">
        <v>11</v>
      </c>
      <c r="I52" s="1" t="s">
        <v>101</v>
      </c>
      <c r="J52" s="12" t="s">
        <v>112</v>
      </c>
      <c r="K52" s="12" t="s">
        <v>107</v>
      </c>
      <c r="L52" s="12"/>
      <c r="M52" s="12" t="s">
        <v>768</v>
      </c>
      <c r="N52" s="55"/>
      <c r="O52" s="55"/>
      <c r="P52" s="55" t="s">
        <v>105</v>
      </c>
      <c r="Q52" s="55"/>
      <c r="R52" s="55"/>
      <c r="S52" s="14"/>
      <c r="T52" s="14"/>
      <c r="U52" s="14" t="s">
        <v>105</v>
      </c>
      <c r="V52" s="14"/>
      <c r="W52" s="14" t="s">
        <v>105</v>
      </c>
      <c r="X52" s="14"/>
      <c r="Y52" s="14"/>
      <c r="Z52" s="14"/>
      <c r="AA52" s="14" t="s">
        <v>105</v>
      </c>
      <c r="AB52" s="14"/>
      <c r="AC52" s="14"/>
      <c r="AD52" s="14"/>
      <c r="AE52" s="14" t="s">
        <v>105</v>
      </c>
      <c r="AF52" s="14"/>
      <c r="AG52" s="14"/>
      <c r="AH52" s="14"/>
      <c r="AI52" s="61"/>
      <c r="AK52" s="78" t="s">
        <v>662</v>
      </c>
    </row>
    <row r="53" spans="1:37" ht="30">
      <c r="A53" s="14" t="s">
        <v>97</v>
      </c>
      <c r="B53" s="59" t="s">
        <v>97</v>
      </c>
      <c r="C53" s="31" t="s">
        <v>662</v>
      </c>
      <c r="D53" s="31"/>
      <c r="E53" s="13" t="s">
        <v>769</v>
      </c>
      <c r="F53" s="13" t="s">
        <v>687</v>
      </c>
      <c r="G53" s="12" t="s">
        <v>14</v>
      </c>
      <c r="H53" s="55" t="s">
        <v>11</v>
      </c>
      <c r="I53" s="1" t="s">
        <v>101</v>
      </c>
      <c r="J53" s="12" t="s">
        <v>112</v>
      </c>
      <c r="K53" s="12" t="s">
        <v>107</v>
      </c>
      <c r="L53" s="12"/>
      <c r="M53" s="12" t="s">
        <v>770</v>
      </c>
      <c r="N53" s="55"/>
      <c r="O53" s="55"/>
      <c r="P53" s="55"/>
      <c r="Q53" s="55"/>
      <c r="R53" s="55"/>
      <c r="S53" s="14"/>
      <c r="T53" s="14"/>
      <c r="U53" s="14"/>
      <c r="V53" s="14"/>
      <c r="W53" s="14" t="s">
        <v>105</v>
      </c>
      <c r="X53" s="14"/>
      <c r="Y53" s="14"/>
      <c r="Z53" s="14"/>
      <c r="AA53" s="14" t="s">
        <v>105</v>
      </c>
      <c r="AB53" s="14"/>
      <c r="AC53" s="14"/>
      <c r="AD53" s="14"/>
      <c r="AE53" s="14" t="s">
        <v>105</v>
      </c>
      <c r="AF53" s="14"/>
      <c r="AG53" s="14"/>
      <c r="AH53" s="14"/>
      <c r="AI53" s="61"/>
      <c r="AK53" s="78" t="s">
        <v>662</v>
      </c>
    </row>
    <row r="54" spans="1:37" ht="30">
      <c r="A54" s="14" t="s">
        <v>97</v>
      </c>
      <c r="B54" s="59" t="s">
        <v>97</v>
      </c>
      <c r="C54" s="31" t="s">
        <v>662</v>
      </c>
      <c r="D54" s="31"/>
      <c r="E54" s="13" t="s">
        <v>771</v>
      </c>
      <c r="F54" s="13" t="s">
        <v>687</v>
      </c>
      <c r="G54" s="12" t="s">
        <v>14</v>
      </c>
      <c r="H54" s="55" t="s">
        <v>11</v>
      </c>
      <c r="I54" s="1" t="s">
        <v>101</v>
      </c>
      <c r="J54" s="12" t="s">
        <v>112</v>
      </c>
      <c r="K54" s="12" t="s">
        <v>107</v>
      </c>
      <c r="L54" s="12"/>
      <c r="M54" s="12" t="s">
        <v>772</v>
      </c>
      <c r="N54" s="55"/>
      <c r="O54" s="55"/>
      <c r="P54" s="55"/>
      <c r="Q54" s="55"/>
      <c r="R54" s="55"/>
      <c r="S54" s="14"/>
      <c r="T54" s="14"/>
      <c r="U54" s="14"/>
      <c r="V54" s="14"/>
      <c r="W54" s="14" t="s">
        <v>105</v>
      </c>
      <c r="X54" s="14"/>
      <c r="Y54" s="14"/>
      <c r="Z54" s="14"/>
      <c r="AA54" s="14" t="s">
        <v>105</v>
      </c>
      <c r="AB54" s="14"/>
      <c r="AC54" s="14"/>
      <c r="AD54" s="14"/>
      <c r="AE54" s="14"/>
      <c r="AF54" s="14"/>
      <c r="AG54" s="14"/>
      <c r="AH54" s="14"/>
      <c r="AI54" s="61"/>
      <c r="AK54" s="78" t="s">
        <v>662</v>
      </c>
    </row>
    <row r="55" spans="1:37" ht="30">
      <c r="A55" s="14" t="s">
        <v>97</v>
      </c>
      <c r="B55" s="59" t="s">
        <v>97</v>
      </c>
      <c r="C55" s="31" t="s">
        <v>662</v>
      </c>
      <c r="D55" s="31"/>
      <c r="E55" s="13" t="s">
        <v>773</v>
      </c>
      <c r="F55" s="13" t="s">
        <v>687</v>
      </c>
      <c r="G55" s="12" t="s">
        <v>14</v>
      </c>
      <c r="H55" s="55" t="s">
        <v>11</v>
      </c>
      <c r="I55" s="1" t="s">
        <v>101</v>
      </c>
      <c r="J55" s="12" t="s">
        <v>112</v>
      </c>
      <c r="K55" s="12" t="s">
        <v>107</v>
      </c>
      <c r="L55" s="12"/>
      <c r="M55" s="12" t="s">
        <v>147</v>
      </c>
      <c r="N55" s="55"/>
      <c r="O55" s="55"/>
      <c r="P55" s="55"/>
      <c r="Q55" s="55"/>
      <c r="R55" s="55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61"/>
      <c r="AK55" s="78" t="s">
        <v>662</v>
      </c>
    </row>
    <row r="56" spans="1:37" ht="30">
      <c r="A56" s="14" t="s">
        <v>97</v>
      </c>
      <c r="B56" s="229" t="s">
        <v>96</v>
      </c>
      <c r="C56" s="31" t="s">
        <v>662</v>
      </c>
      <c r="D56" s="31"/>
      <c r="E56" s="12" t="s">
        <v>774</v>
      </c>
      <c r="F56" s="12" t="s">
        <v>731</v>
      </c>
      <c r="G56" s="12" t="s">
        <v>14</v>
      </c>
      <c r="H56" s="55" t="s">
        <v>11</v>
      </c>
      <c r="I56" s="14" t="s">
        <v>101</v>
      </c>
      <c r="J56" s="12" t="s">
        <v>112</v>
      </c>
      <c r="K56" s="12" t="s">
        <v>107</v>
      </c>
      <c r="L56" s="12"/>
      <c r="M56" s="12" t="s">
        <v>775</v>
      </c>
      <c r="N56" s="55"/>
      <c r="O56" s="55"/>
      <c r="P56" s="55" t="s">
        <v>105</v>
      </c>
      <c r="Q56" s="55"/>
      <c r="R56" s="55"/>
      <c r="S56" s="14"/>
      <c r="T56" s="14" t="s">
        <v>105</v>
      </c>
      <c r="U56" s="14"/>
      <c r="V56" s="14"/>
      <c r="W56" s="14" t="s">
        <v>105</v>
      </c>
      <c r="X56" s="14"/>
      <c r="Y56" s="14"/>
      <c r="Z56" s="14"/>
      <c r="AA56" s="14" t="s">
        <v>105</v>
      </c>
      <c r="AB56" s="14"/>
      <c r="AC56" s="14"/>
      <c r="AD56" s="14"/>
      <c r="AE56" s="14"/>
      <c r="AF56" s="14"/>
      <c r="AG56" s="14"/>
      <c r="AH56" s="14"/>
      <c r="AI56" s="61"/>
      <c r="AK56" s="78" t="s">
        <v>662</v>
      </c>
    </row>
    <row r="57" spans="1:37" ht="30">
      <c r="A57" s="14" t="s">
        <v>97</v>
      </c>
      <c r="B57" s="59" t="s">
        <v>97</v>
      </c>
      <c r="C57" s="31" t="s">
        <v>776</v>
      </c>
      <c r="D57" s="31"/>
      <c r="E57" s="13" t="s">
        <v>777</v>
      </c>
      <c r="F57" s="13" t="s">
        <v>731</v>
      </c>
      <c r="G57" s="12" t="s">
        <v>14</v>
      </c>
      <c r="H57" s="55" t="s">
        <v>11</v>
      </c>
      <c r="I57" s="1" t="s">
        <v>145</v>
      </c>
      <c r="J57" s="12" t="s">
        <v>119</v>
      </c>
      <c r="K57" s="12" t="s">
        <v>107</v>
      </c>
      <c r="L57" s="12"/>
      <c r="M57" s="12" t="s">
        <v>147</v>
      </c>
      <c r="N57" s="55"/>
      <c r="O57" s="55"/>
      <c r="P57" s="55"/>
      <c r="Q57" s="55"/>
      <c r="R57" s="55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61"/>
      <c r="AK57" s="78" t="s">
        <v>776</v>
      </c>
    </row>
    <row r="58" spans="1:37" ht="30">
      <c r="A58" s="14" t="s">
        <v>97</v>
      </c>
      <c r="B58" s="59" t="s">
        <v>97</v>
      </c>
      <c r="C58" s="31" t="s">
        <v>662</v>
      </c>
      <c r="D58" s="31"/>
      <c r="E58" s="13" t="s">
        <v>778</v>
      </c>
      <c r="F58" s="13" t="s">
        <v>731</v>
      </c>
      <c r="G58" s="12" t="s">
        <v>14</v>
      </c>
      <c r="H58" s="55" t="s">
        <v>11</v>
      </c>
      <c r="I58" s="1" t="s">
        <v>145</v>
      </c>
      <c r="J58" s="12" t="s">
        <v>119</v>
      </c>
      <c r="K58" s="12" t="s">
        <v>107</v>
      </c>
      <c r="L58" s="12"/>
      <c r="M58" s="12" t="s">
        <v>147</v>
      </c>
      <c r="N58" s="55"/>
      <c r="O58" s="55"/>
      <c r="P58" s="55"/>
      <c r="Q58" s="55"/>
      <c r="R58" s="55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61"/>
      <c r="AK58" s="78" t="s">
        <v>662</v>
      </c>
    </row>
    <row r="59" spans="1:37" s="6" customFormat="1" ht="30">
      <c r="A59" s="14" t="s">
        <v>97</v>
      </c>
      <c r="B59" s="59" t="s">
        <v>97</v>
      </c>
      <c r="C59" s="14" t="s">
        <v>779</v>
      </c>
      <c r="D59" s="14"/>
      <c r="E59" s="13" t="s">
        <v>780</v>
      </c>
      <c r="F59" s="13" t="s">
        <v>731</v>
      </c>
      <c r="G59" s="12" t="s">
        <v>14</v>
      </c>
      <c r="H59" s="55" t="s">
        <v>11</v>
      </c>
      <c r="I59" s="1" t="s">
        <v>145</v>
      </c>
      <c r="J59" s="12" t="s">
        <v>119</v>
      </c>
      <c r="K59" s="12" t="s">
        <v>107</v>
      </c>
      <c r="L59" s="12"/>
      <c r="M59" s="12" t="s">
        <v>147</v>
      </c>
      <c r="N59" s="55"/>
      <c r="O59" s="55"/>
      <c r="P59" s="55"/>
      <c r="Q59" s="55"/>
      <c r="R59" s="55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61"/>
      <c r="AJ59" s="29"/>
      <c r="AK59" s="168" t="s">
        <v>779</v>
      </c>
    </row>
    <row r="60" spans="1:37" s="89" customFormat="1" ht="30">
      <c r="A60" s="14" t="s">
        <v>97</v>
      </c>
      <c r="B60" s="59" t="s">
        <v>97</v>
      </c>
      <c r="C60" s="14" t="s">
        <v>781</v>
      </c>
      <c r="D60" s="14"/>
      <c r="E60" s="13" t="s">
        <v>782</v>
      </c>
      <c r="F60" s="13" t="s">
        <v>731</v>
      </c>
      <c r="G60" s="12" t="s">
        <v>14</v>
      </c>
      <c r="H60" s="55" t="s">
        <v>11</v>
      </c>
      <c r="I60" s="1" t="s">
        <v>145</v>
      </c>
      <c r="J60" s="12" t="s">
        <v>119</v>
      </c>
      <c r="K60" s="12" t="s">
        <v>107</v>
      </c>
      <c r="L60" s="12"/>
      <c r="M60" s="12" t="s">
        <v>147</v>
      </c>
      <c r="N60" s="55"/>
      <c r="O60" s="55"/>
      <c r="P60" s="55"/>
      <c r="Q60" s="55"/>
      <c r="R60" s="55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61"/>
      <c r="AK60" s="88" t="s">
        <v>781</v>
      </c>
    </row>
    <row r="61" spans="1:37" s="89" customFormat="1" ht="30">
      <c r="A61" s="14" t="s">
        <v>97</v>
      </c>
      <c r="B61" s="59" t="s">
        <v>96</v>
      </c>
      <c r="C61" s="167" t="s">
        <v>662</v>
      </c>
      <c r="D61" s="234"/>
      <c r="E61" s="13" t="s">
        <v>783</v>
      </c>
      <c r="F61" s="12" t="s">
        <v>672</v>
      </c>
      <c r="G61" s="12" t="s">
        <v>14</v>
      </c>
      <c r="H61" s="55" t="s">
        <v>11</v>
      </c>
      <c r="I61" s="1" t="s">
        <v>101</v>
      </c>
      <c r="J61" s="12" t="s">
        <v>112</v>
      </c>
      <c r="K61" s="12" t="s">
        <v>107</v>
      </c>
      <c r="L61" s="12"/>
      <c r="M61" s="65" t="s">
        <v>784</v>
      </c>
      <c r="N61" s="55"/>
      <c r="O61" s="1"/>
      <c r="P61" s="1" t="s">
        <v>105</v>
      </c>
      <c r="Q61" s="1"/>
      <c r="R61" s="1"/>
      <c r="S61" s="1"/>
      <c r="T61" s="1" t="s">
        <v>105</v>
      </c>
      <c r="U61" s="1"/>
      <c r="V61" s="1"/>
      <c r="W61" s="1" t="s">
        <v>785</v>
      </c>
      <c r="X61" s="1"/>
      <c r="Y61" s="1"/>
      <c r="Z61" s="1"/>
      <c r="AA61" s="1" t="s">
        <v>105</v>
      </c>
      <c r="AB61" s="1"/>
      <c r="AC61" s="1"/>
      <c r="AD61" s="1"/>
      <c r="AE61" s="1"/>
      <c r="AF61" s="1"/>
      <c r="AG61" s="1"/>
      <c r="AH61" s="1"/>
      <c r="AI61" s="61"/>
      <c r="AK61" s="167" t="s">
        <v>662</v>
      </c>
    </row>
    <row r="62" spans="1:37">
      <c r="A62" s="14" t="s">
        <v>97</v>
      </c>
      <c r="B62" s="59" t="s">
        <v>97</v>
      </c>
      <c r="C62" s="1" t="s">
        <v>662</v>
      </c>
      <c r="D62" s="235"/>
      <c r="E62" s="13" t="s">
        <v>786</v>
      </c>
      <c r="F62" s="12" t="s">
        <v>672</v>
      </c>
      <c r="G62" s="12" t="s">
        <v>673</v>
      </c>
      <c r="H62" s="55" t="s">
        <v>14</v>
      </c>
      <c r="I62" s="1" t="s">
        <v>101</v>
      </c>
      <c r="J62" s="1" t="s">
        <v>103</v>
      </c>
      <c r="K62" s="12" t="s">
        <v>107</v>
      </c>
      <c r="L62" s="12"/>
      <c r="M62" s="65" t="s">
        <v>103</v>
      </c>
      <c r="N62" s="5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61"/>
      <c r="AK62" s="1" t="s">
        <v>662</v>
      </c>
    </row>
    <row r="63" spans="1:37" ht="30">
      <c r="A63" s="14" t="s">
        <v>97</v>
      </c>
      <c r="B63" s="59" t="s">
        <v>97</v>
      </c>
      <c r="C63" s="167" t="s">
        <v>662</v>
      </c>
      <c r="D63" s="234"/>
      <c r="E63" s="13" t="s">
        <v>787</v>
      </c>
      <c r="F63" s="12" t="s">
        <v>672</v>
      </c>
      <c r="G63" s="12" t="s">
        <v>14</v>
      </c>
      <c r="H63" s="55" t="s">
        <v>11</v>
      </c>
      <c r="I63" s="1" t="s">
        <v>101</v>
      </c>
      <c r="J63" s="12" t="s">
        <v>112</v>
      </c>
      <c r="K63" s="12" t="s">
        <v>107</v>
      </c>
      <c r="L63" s="12"/>
      <c r="M63" s="65" t="s">
        <v>788</v>
      </c>
      <c r="N63" s="55"/>
      <c r="O63" s="1"/>
      <c r="P63" s="1"/>
      <c r="Q63" s="1" t="s">
        <v>122</v>
      </c>
      <c r="R63" s="1"/>
      <c r="S63" s="1"/>
      <c r="T63" s="1" t="s">
        <v>239</v>
      </c>
      <c r="U63" s="1"/>
      <c r="V63" s="1"/>
      <c r="W63" s="1" t="s">
        <v>105</v>
      </c>
      <c r="X63" s="1"/>
      <c r="Y63" s="1" t="s">
        <v>105</v>
      </c>
      <c r="Z63" s="1"/>
      <c r="AA63" s="1"/>
      <c r="AB63" s="1"/>
      <c r="AC63" s="1"/>
      <c r="AD63" s="1"/>
      <c r="AE63" s="1" t="s">
        <v>105</v>
      </c>
      <c r="AF63" s="1"/>
      <c r="AG63" s="1"/>
      <c r="AH63" s="1"/>
      <c r="AI63" s="61"/>
      <c r="AK63" s="167" t="s">
        <v>662</v>
      </c>
    </row>
    <row r="64" spans="1:37" ht="30">
      <c r="A64" s="14" t="s">
        <v>97</v>
      </c>
      <c r="B64" s="59" t="s">
        <v>97</v>
      </c>
      <c r="C64" s="1" t="s">
        <v>662</v>
      </c>
      <c r="D64" s="235"/>
      <c r="E64" s="13" t="s">
        <v>789</v>
      </c>
      <c r="F64" s="12" t="s">
        <v>672</v>
      </c>
      <c r="G64" s="12" t="s">
        <v>14</v>
      </c>
      <c r="H64" s="55" t="s">
        <v>11</v>
      </c>
      <c r="I64" s="1" t="s">
        <v>101</v>
      </c>
      <c r="J64" s="12" t="s">
        <v>112</v>
      </c>
      <c r="K64" s="12" t="s">
        <v>107</v>
      </c>
      <c r="L64" s="12"/>
      <c r="M64" s="65" t="s">
        <v>788</v>
      </c>
      <c r="N64" s="55"/>
      <c r="O64" s="1"/>
      <c r="P64" s="1"/>
      <c r="Q64" s="1" t="s">
        <v>122</v>
      </c>
      <c r="R64" s="1"/>
      <c r="S64" s="1"/>
      <c r="T64" s="1" t="s">
        <v>239</v>
      </c>
      <c r="U64" s="1"/>
      <c r="V64" s="1"/>
      <c r="W64" s="1" t="s">
        <v>105</v>
      </c>
      <c r="X64" s="1"/>
      <c r="Y64" s="1" t="s">
        <v>105</v>
      </c>
      <c r="Z64" s="1"/>
      <c r="AA64" s="1"/>
      <c r="AB64" s="1"/>
      <c r="AC64" s="1"/>
      <c r="AD64" s="1"/>
      <c r="AE64" s="1" t="s">
        <v>105</v>
      </c>
      <c r="AF64" s="1"/>
      <c r="AG64" s="1"/>
      <c r="AH64" s="1"/>
      <c r="AI64" s="61"/>
      <c r="AK64" s="1" t="s">
        <v>662</v>
      </c>
    </row>
    <row r="65" spans="1:37" ht="30">
      <c r="A65" s="14" t="s">
        <v>97</v>
      </c>
      <c r="B65" s="229" t="s">
        <v>97</v>
      </c>
      <c r="C65" s="167" t="s">
        <v>662</v>
      </c>
      <c r="D65" s="234"/>
      <c r="E65" s="12" t="s">
        <v>790</v>
      </c>
      <c r="F65" s="12" t="s">
        <v>672</v>
      </c>
      <c r="G65" s="12" t="s">
        <v>14</v>
      </c>
      <c r="H65" s="55" t="s">
        <v>11</v>
      </c>
      <c r="I65" s="1" t="s">
        <v>101</v>
      </c>
      <c r="J65" s="12" t="s">
        <v>112</v>
      </c>
      <c r="K65" s="12" t="s">
        <v>107</v>
      </c>
      <c r="L65" s="12"/>
      <c r="M65" s="65" t="s">
        <v>772</v>
      </c>
      <c r="N65" s="55"/>
      <c r="O65" s="1"/>
      <c r="P65" s="1"/>
      <c r="Q65" s="1"/>
      <c r="R65" s="1"/>
      <c r="S65" s="1"/>
      <c r="T65" s="1"/>
      <c r="U65" s="1"/>
      <c r="V65" s="1"/>
      <c r="W65" s="1" t="s">
        <v>105</v>
      </c>
      <c r="X65" s="1"/>
      <c r="Y65" s="1"/>
      <c r="Z65" s="1"/>
      <c r="AA65" s="1" t="s">
        <v>105</v>
      </c>
      <c r="AB65" s="1"/>
      <c r="AC65" s="1"/>
      <c r="AD65" s="1"/>
      <c r="AE65" s="1"/>
      <c r="AF65" s="1"/>
      <c r="AG65" s="1"/>
      <c r="AH65" s="1"/>
      <c r="AI65" s="61"/>
      <c r="AK65" s="167" t="s">
        <v>662</v>
      </c>
    </row>
    <row r="66" spans="1:37" ht="30">
      <c r="A66" s="14" t="s">
        <v>97</v>
      </c>
      <c r="B66" s="229" t="s">
        <v>97</v>
      </c>
      <c r="C66" s="1" t="s">
        <v>662</v>
      </c>
      <c r="D66" s="235"/>
      <c r="E66" s="12" t="s">
        <v>791</v>
      </c>
      <c r="F66" s="12" t="s">
        <v>672</v>
      </c>
      <c r="G66" s="12" t="s">
        <v>14</v>
      </c>
      <c r="H66" s="55" t="s">
        <v>11</v>
      </c>
      <c r="I66" s="1" t="s">
        <v>101</v>
      </c>
      <c r="J66" s="12" t="s">
        <v>112</v>
      </c>
      <c r="K66" s="12" t="s">
        <v>107</v>
      </c>
      <c r="L66" s="12"/>
      <c r="M66" s="65" t="s">
        <v>772</v>
      </c>
      <c r="N66" s="55"/>
      <c r="O66" s="1"/>
      <c r="P66" s="1"/>
      <c r="Q66" s="1"/>
      <c r="R66" s="1"/>
      <c r="S66" s="1"/>
      <c r="T66" s="1"/>
      <c r="U66" s="1"/>
      <c r="V66" s="1"/>
      <c r="W66" s="1" t="s">
        <v>105</v>
      </c>
      <c r="X66" s="1"/>
      <c r="Y66" s="1"/>
      <c r="Z66" s="1"/>
      <c r="AA66" s="1" t="s">
        <v>105</v>
      </c>
      <c r="AB66" s="1"/>
      <c r="AC66" s="1"/>
      <c r="AD66" s="1"/>
      <c r="AE66" s="1"/>
      <c r="AF66" s="1"/>
      <c r="AG66" s="1"/>
      <c r="AH66" s="1"/>
      <c r="AI66" s="61"/>
      <c r="AK66" s="1" t="s">
        <v>662</v>
      </c>
    </row>
    <row r="67" spans="1:37" ht="30">
      <c r="A67" s="14" t="s">
        <v>97</v>
      </c>
      <c r="B67" s="229" t="s">
        <v>97</v>
      </c>
      <c r="C67" s="167" t="s">
        <v>662</v>
      </c>
      <c r="D67" s="234"/>
      <c r="E67" s="12" t="s">
        <v>792</v>
      </c>
      <c r="F67" s="12" t="s">
        <v>672</v>
      </c>
      <c r="G67" s="12" t="s">
        <v>14</v>
      </c>
      <c r="H67" s="55" t="s">
        <v>11</v>
      </c>
      <c r="I67" s="1" t="s">
        <v>101</v>
      </c>
      <c r="J67" s="12" t="s">
        <v>112</v>
      </c>
      <c r="K67" s="12" t="s">
        <v>107</v>
      </c>
      <c r="L67" s="12"/>
      <c r="M67" s="65" t="s">
        <v>772</v>
      </c>
      <c r="N67" s="55"/>
      <c r="O67" s="1"/>
      <c r="P67" s="1"/>
      <c r="Q67" s="1"/>
      <c r="R67" s="1"/>
      <c r="S67" s="1"/>
      <c r="T67" s="1"/>
      <c r="U67" s="1"/>
      <c r="V67" s="1"/>
      <c r="W67" s="1" t="s">
        <v>105</v>
      </c>
      <c r="X67" s="1"/>
      <c r="Y67" s="1"/>
      <c r="Z67" s="1"/>
      <c r="AA67" s="1" t="s">
        <v>105</v>
      </c>
      <c r="AB67" s="1"/>
      <c r="AC67" s="1"/>
      <c r="AD67" s="1"/>
      <c r="AE67" s="1"/>
      <c r="AF67" s="1"/>
      <c r="AG67" s="1"/>
      <c r="AH67" s="1"/>
      <c r="AI67" s="61"/>
      <c r="AK67" s="167" t="s">
        <v>662</v>
      </c>
    </row>
    <row r="68" spans="1:37" ht="30">
      <c r="A68" s="14" t="s">
        <v>97</v>
      </c>
      <c r="B68" s="229" t="s">
        <v>96</v>
      </c>
      <c r="C68" s="1" t="s">
        <v>662</v>
      </c>
      <c r="D68" s="235"/>
      <c r="E68" s="12" t="s">
        <v>793</v>
      </c>
      <c r="F68" s="12" t="s">
        <v>672</v>
      </c>
      <c r="G68" s="12" t="s">
        <v>14</v>
      </c>
      <c r="H68" s="55" t="s">
        <v>11</v>
      </c>
      <c r="I68" s="1" t="s">
        <v>101</v>
      </c>
      <c r="J68" s="12" t="s">
        <v>112</v>
      </c>
      <c r="K68" s="12" t="s">
        <v>107</v>
      </c>
      <c r="L68" s="12"/>
      <c r="M68" s="65" t="s">
        <v>794</v>
      </c>
      <c r="N68" s="55"/>
      <c r="O68" s="1"/>
      <c r="P68" s="1"/>
      <c r="Q68" s="1" t="s">
        <v>705</v>
      </c>
      <c r="R68" s="1"/>
      <c r="S68" s="1"/>
      <c r="T68" s="1" t="s">
        <v>105</v>
      </c>
      <c r="U68" s="1"/>
      <c r="V68" s="1"/>
      <c r="W68" s="1" t="s">
        <v>105</v>
      </c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61"/>
      <c r="AK68" s="1" t="s">
        <v>662</v>
      </c>
    </row>
    <row r="69" spans="1:37" ht="30">
      <c r="A69" s="14" t="s">
        <v>97</v>
      </c>
      <c r="B69" s="229" t="s">
        <v>97</v>
      </c>
      <c r="C69" s="167" t="s">
        <v>662</v>
      </c>
      <c r="D69" s="234"/>
      <c r="E69" s="12" t="s">
        <v>795</v>
      </c>
      <c r="F69" s="12" t="s">
        <v>672</v>
      </c>
      <c r="G69" s="12" t="s">
        <v>14</v>
      </c>
      <c r="H69" s="55" t="s">
        <v>11</v>
      </c>
      <c r="I69" s="1" t="s">
        <v>101</v>
      </c>
      <c r="J69" s="12" t="s">
        <v>112</v>
      </c>
      <c r="K69" s="12" t="s">
        <v>107</v>
      </c>
      <c r="L69" s="12"/>
      <c r="M69" s="65" t="s">
        <v>796</v>
      </c>
      <c r="N69" s="55"/>
      <c r="O69" s="1"/>
      <c r="P69" s="1"/>
      <c r="Q69" s="1"/>
      <c r="R69" s="1"/>
      <c r="S69" s="1"/>
      <c r="T69" s="1" t="s">
        <v>105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61"/>
      <c r="AK69" s="167" t="s">
        <v>662</v>
      </c>
    </row>
    <row r="70" spans="1:37" ht="30">
      <c r="A70" s="14" t="s">
        <v>97</v>
      </c>
      <c r="B70" s="229" t="s">
        <v>97</v>
      </c>
      <c r="C70" s="1" t="s">
        <v>662</v>
      </c>
      <c r="D70" s="235"/>
      <c r="E70" s="12" t="s">
        <v>797</v>
      </c>
      <c r="F70" s="12" t="s">
        <v>672</v>
      </c>
      <c r="G70" s="12" t="s">
        <v>14</v>
      </c>
      <c r="H70" s="55" t="s">
        <v>11</v>
      </c>
      <c r="I70" s="1" t="s">
        <v>101</v>
      </c>
      <c r="J70" s="12" t="s">
        <v>112</v>
      </c>
      <c r="K70" s="12" t="s">
        <v>107</v>
      </c>
      <c r="L70" s="12"/>
      <c r="M70" s="65" t="s">
        <v>798</v>
      </c>
      <c r="N70" s="55"/>
      <c r="O70" s="1"/>
      <c r="P70" s="1"/>
      <c r="Q70" s="1"/>
      <c r="R70" s="1"/>
      <c r="S70" s="1"/>
      <c r="T70" s="1"/>
      <c r="U70" s="1"/>
      <c r="V70" s="1"/>
      <c r="W70" s="1" t="s">
        <v>105</v>
      </c>
      <c r="X70" s="1"/>
      <c r="Y70" s="1"/>
      <c r="Z70" s="1"/>
      <c r="AA70" s="1" t="s">
        <v>105</v>
      </c>
      <c r="AB70" s="1"/>
      <c r="AC70" s="1"/>
      <c r="AD70" s="1"/>
      <c r="AE70" s="1"/>
      <c r="AF70" s="1"/>
      <c r="AG70" s="1"/>
      <c r="AH70" s="1"/>
      <c r="AI70" s="61"/>
      <c r="AK70" s="1" t="s">
        <v>662</v>
      </c>
    </row>
    <row r="71" spans="1:37" ht="30">
      <c r="A71" s="14" t="s">
        <v>97</v>
      </c>
      <c r="B71" s="229" t="s">
        <v>96</v>
      </c>
      <c r="C71" s="167" t="s">
        <v>662</v>
      </c>
      <c r="D71" s="234"/>
      <c r="E71" s="12" t="s">
        <v>799</v>
      </c>
      <c r="F71" s="12" t="s">
        <v>672</v>
      </c>
      <c r="G71" s="12" t="s">
        <v>14</v>
      </c>
      <c r="H71" s="55" t="s">
        <v>11</v>
      </c>
      <c r="I71" s="1" t="s">
        <v>101</v>
      </c>
      <c r="J71" s="12" t="s">
        <v>112</v>
      </c>
      <c r="K71" s="12" t="s">
        <v>107</v>
      </c>
      <c r="L71" s="12"/>
      <c r="M71" s="65" t="s">
        <v>798</v>
      </c>
      <c r="N71" s="55"/>
      <c r="O71" s="1"/>
      <c r="P71" s="1"/>
      <c r="Q71" s="1"/>
      <c r="R71" s="1"/>
      <c r="S71" s="1"/>
      <c r="T71" s="1" t="s">
        <v>105</v>
      </c>
      <c r="U71" s="1"/>
      <c r="V71" s="1"/>
      <c r="W71" s="1" t="s">
        <v>105</v>
      </c>
      <c r="X71" s="1"/>
      <c r="Y71" s="1"/>
      <c r="Z71" s="1"/>
      <c r="AA71" s="1" t="s">
        <v>705</v>
      </c>
      <c r="AB71" s="1"/>
      <c r="AC71" s="1"/>
      <c r="AD71" s="1"/>
      <c r="AE71" s="1"/>
      <c r="AF71" s="1"/>
      <c r="AG71" s="1"/>
      <c r="AH71" s="1"/>
      <c r="AI71" s="61"/>
      <c r="AK71" s="167" t="s">
        <v>662</v>
      </c>
    </row>
    <row r="72" spans="1:37" ht="30">
      <c r="A72" s="14" t="s">
        <v>97</v>
      </c>
      <c r="B72" s="59" t="s">
        <v>97</v>
      </c>
      <c r="C72" s="1" t="s">
        <v>662</v>
      </c>
      <c r="D72" s="235"/>
      <c r="E72" s="13" t="s">
        <v>800</v>
      </c>
      <c r="F72" s="12" t="s">
        <v>672</v>
      </c>
      <c r="G72" s="12" t="s">
        <v>14</v>
      </c>
      <c r="H72" s="55" t="s">
        <v>11</v>
      </c>
      <c r="I72" s="1" t="s">
        <v>101</v>
      </c>
      <c r="J72" s="12" t="s">
        <v>112</v>
      </c>
      <c r="K72" s="12" t="s">
        <v>107</v>
      </c>
      <c r="L72" s="12"/>
      <c r="M72" s="65" t="s">
        <v>801</v>
      </c>
      <c r="N72" s="55"/>
      <c r="O72" s="1"/>
      <c r="P72" s="1"/>
      <c r="Q72" s="1" t="s">
        <v>105</v>
      </c>
      <c r="R72" s="1"/>
      <c r="S72" s="1"/>
      <c r="T72" s="1" t="s">
        <v>239</v>
      </c>
      <c r="U72" s="1"/>
      <c r="V72" s="1"/>
      <c r="W72" s="1" t="s">
        <v>105</v>
      </c>
      <c r="X72" s="1"/>
      <c r="Y72" s="1" t="s">
        <v>122</v>
      </c>
      <c r="Z72" s="1"/>
      <c r="AA72" s="1" t="s">
        <v>105</v>
      </c>
      <c r="AB72" s="1"/>
      <c r="AC72" s="1"/>
      <c r="AD72" s="1"/>
      <c r="AE72" s="1"/>
      <c r="AF72" s="1"/>
      <c r="AG72" s="1"/>
      <c r="AH72" s="1"/>
      <c r="AI72" s="61"/>
      <c r="AK72" s="1" t="s">
        <v>662</v>
      </c>
    </row>
    <row r="73" spans="1:37">
      <c r="A73" s="14" t="s">
        <v>97</v>
      </c>
      <c r="B73" s="229" t="s">
        <v>96</v>
      </c>
      <c r="C73" s="167" t="s">
        <v>662</v>
      </c>
      <c r="D73" s="167"/>
      <c r="E73" s="12" t="s">
        <v>802</v>
      </c>
      <c r="F73" s="12" t="s">
        <v>672</v>
      </c>
      <c r="G73" s="12" t="s">
        <v>673</v>
      </c>
      <c r="H73" s="55" t="s">
        <v>14</v>
      </c>
      <c r="I73" s="1" t="s">
        <v>101</v>
      </c>
      <c r="J73" s="1" t="s">
        <v>103</v>
      </c>
      <c r="K73" s="12" t="s">
        <v>107</v>
      </c>
      <c r="L73" s="12"/>
      <c r="M73" s="65" t="s">
        <v>103</v>
      </c>
      <c r="N73" s="5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61"/>
      <c r="AK73" s="167" t="s">
        <v>662</v>
      </c>
    </row>
    <row r="74" spans="1:37" ht="30">
      <c r="A74" s="14" t="s">
        <v>97</v>
      </c>
      <c r="B74" s="229" t="s">
        <v>97</v>
      </c>
      <c r="C74" s="1" t="s">
        <v>662</v>
      </c>
      <c r="D74" s="1"/>
      <c r="E74" s="12" t="s">
        <v>803</v>
      </c>
      <c r="F74" s="12"/>
      <c r="G74" s="12" t="s">
        <v>14</v>
      </c>
      <c r="H74" s="55" t="s">
        <v>11</v>
      </c>
      <c r="I74" s="14" t="s">
        <v>101</v>
      </c>
      <c r="J74" s="12" t="s">
        <v>112</v>
      </c>
      <c r="K74" s="12" t="s">
        <v>107</v>
      </c>
      <c r="L74" s="12"/>
      <c r="M74" s="12" t="s">
        <v>804</v>
      </c>
      <c r="N74" s="55"/>
      <c r="O74" s="1"/>
      <c r="P74" s="1"/>
      <c r="Q74" s="1"/>
      <c r="R74" s="1"/>
      <c r="S74" s="1"/>
      <c r="T74" s="1"/>
      <c r="U74" s="1"/>
      <c r="V74" s="1"/>
      <c r="W74" s="1" t="s">
        <v>105</v>
      </c>
      <c r="X74" s="1"/>
      <c r="Y74" s="1"/>
      <c r="Z74" s="1"/>
      <c r="AA74" s="1" t="s">
        <v>105</v>
      </c>
      <c r="AB74" s="1"/>
      <c r="AC74" s="1"/>
      <c r="AD74" s="1"/>
      <c r="AE74" s="1" t="s">
        <v>105</v>
      </c>
      <c r="AF74" s="1"/>
      <c r="AG74" s="1"/>
      <c r="AH74" s="1"/>
      <c r="AI74" s="61"/>
      <c r="AK74" s="1" t="s">
        <v>662</v>
      </c>
    </row>
    <row r="75" spans="1:37" ht="30">
      <c r="A75" s="14" t="s">
        <v>97</v>
      </c>
      <c r="B75" s="229" t="s">
        <v>96</v>
      </c>
      <c r="C75" s="167" t="s">
        <v>662</v>
      </c>
      <c r="D75" s="167"/>
      <c r="E75" s="12" t="s">
        <v>805</v>
      </c>
      <c r="F75" s="12" t="s">
        <v>672</v>
      </c>
      <c r="G75" s="12" t="s">
        <v>14</v>
      </c>
      <c r="H75" s="55" t="s">
        <v>11</v>
      </c>
      <c r="I75" s="1" t="s">
        <v>101</v>
      </c>
      <c r="J75" s="12" t="s">
        <v>112</v>
      </c>
      <c r="K75" s="12" t="s">
        <v>107</v>
      </c>
      <c r="L75" s="12"/>
      <c r="M75" s="65" t="s">
        <v>806</v>
      </c>
      <c r="N75" s="55"/>
      <c r="O75" s="1"/>
      <c r="P75" s="1"/>
      <c r="Q75" s="1" t="s">
        <v>105</v>
      </c>
      <c r="R75" s="1"/>
      <c r="S75" s="1"/>
      <c r="T75" s="14" t="s">
        <v>105</v>
      </c>
      <c r="U75" s="1"/>
      <c r="V75" s="1"/>
      <c r="W75" s="1" t="s">
        <v>105</v>
      </c>
      <c r="X75" s="1"/>
      <c r="Y75" s="1"/>
      <c r="Z75" s="1"/>
      <c r="AA75" s="1"/>
      <c r="AB75" s="1"/>
      <c r="AC75" s="1"/>
      <c r="AD75" s="1"/>
      <c r="AE75" s="1" t="s">
        <v>105</v>
      </c>
      <c r="AF75" s="1"/>
      <c r="AG75" s="1"/>
      <c r="AH75" s="1"/>
      <c r="AI75" s="61"/>
      <c r="AK75" s="167" t="s">
        <v>662</v>
      </c>
    </row>
    <row r="76" spans="1:37" ht="30">
      <c r="A76" s="14" t="s">
        <v>97</v>
      </c>
      <c r="B76" s="229" t="s">
        <v>97</v>
      </c>
      <c r="C76" s="1" t="s">
        <v>662</v>
      </c>
      <c r="D76" s="1"/>
      <c r="E76" s="12" t="s">
        <v>807</v>
      </c>
      <c r="F76" s="13" t="s">
        <v>672</v>
      </c>
      <c r="G76" s="12" t="s">
        <v>14</v>
      </c>
      <c r="H76" s="55" t="s">
        <v>11</v>
      </c>
      <c r="I76" s="1" t="s">
        <v>101</v>
      </c>
      <c r="J76" s="12" t="s">
        <v>112</v>
      </c>
      <c r="K76" s="12" t="s">
        <v>107</v>
      </c>
      <c r="L76" s="12"/>
      <c r="M76" s="12" t="s">
        <v>81</v>
      </c>
      <c r="N76" s="55"/>
      <c r="O76" s="55"/>
      <c r="P76" s="55"/>
      <c r="Q76" s="55"/>
      <c r="R76" s="55"/>
      <c r="S76" s="14"/>
      <c r="T76" s="14"/>
      <c r="U76" s="14"/>
      <c r="V76" s="14"/>
      <c r="W76" s="14" t="s">
        <v>105</v>
      </c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61"/>
      <c r="AK76" s="1" t="s">
        <v>662</v>
      </c>
    </row>
    <row r="77" spans="1:37" ht="30">
      <c r="A77" s="14" t="s">
        <v>97</v>
      </c>
      <c r="B77" s="229" t="s">
        <v>97</v>
      </c>
      <c r="C77" s="167" t="s">
        <v>662</v>
      </c>
      <c r="D77" s="167"/>
      <c r="E77" s="12" t="s">
        <v>808</v>
      </c>
      <c r="F77" s="13" t="s">
        <v>672</v>
      </c>
      <c r="G77" s="12" t="s">
        <v>14</v>
      </c>
      <c r="H77" s="55" t="s">
        <v>11</v>
      </c>
      <c r="I77" s="1" t="s">
        <v>101</v>
      </c>
      <c r="J77" s="12" t="s">
        <v>112</v>
      </c>
      <c r="K77" s="12" t="s">
        <v>107</v>
      </c>
      <c r="L77" s="12"/>
      <c r="M77" s="12" t="s">
        <v>809</v>
      </c>
      <c r="N77" s="55"/>
      <c r="O77" s="55"/>
      <c r="P77" s="55"/>
      <c r="Q77" s="55"/>
      <c r="R77" s="55"/>
      <c r="S77" s="14"/>
      <c r="T77" s="14" t="s">
        <v>105</v>
      </c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61"/>
      <c r="AK77" s="167" t="s">
        <v>662</v>
      </c>
    </row>
    <row r="78" spans="1:37" ht="30">
      <c r="A78" s="14" t="s">
        <v>97</v>
      </c>
      <c r="B78" s="229" t="s">
        <v>97</v>
      </c>
      <c r="C78" s="167" t="s">
        <v>662</v>
      </c>
      <c r="D78" s="167"/>
      <c r="E78" s="12" t="s">
        <v>810</v>
      </c>
      <c r="F78" s="12" t="s">
        <v>684</v>
      </c>
      <c r="G78" s="12" t="s">
        <v>14</v>
      </c>
      <c r="H78" s="55" t="s">
        <v>11</v>
      </c>
      <c r="I78" s="1" t="s">
        <v>101</v>
      </c>
      <c r="J78" s="12" t="s">
        <v>112</v>
      </c>
      <c r="K78" s="12" t="s">
        <v>107</v>
      </c>
      <c r="L78" s="12"/>
      <c r="M78" s="65" t="s">
        <v>811</v>
      </c>
      <c r="N78" s="55" t="s">
        <v>105</v>
      </c>
      <c r="O78" s="1"/>
      <c r="P78" s="1"/>
      <c r="Q78" s="1"/>
      <c r="R78" s="1"/>
      <c r="S78" s="1"/>
      <c r="T78" s="1" t="s">
        <v>105</v>
      </c>
      <c r="U78" s="1" t="s">
        <v>105</v>
      </c>
      <c r="V78" s="1"/>
      <c r="W78" s="1" t="s">
        <v>105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61"/>
      <c r="AK78" s="167" t="s">
        <v>662</v>
      </c>
    </row>
    <row r="79" spans="1:37" ht="30">
      <c r="A79" s="14" t="s">
        <v>97</v>
      </c>
      <c r="B79" s="229" t="s">
        <v>97</v>
      </c>
      <c r="C79" s="167" t="s">
        <v>662</v>
      </c>
      <c r="D79" s="167"/>
      <c r="E79" s="12" t="s">
        <v>812</v>
      </c>
      <c r="F79" s="12" t="s">
        <v>684</v>
      </c>
      <c r="G79" s="12" t="s">
        <v>14</v>
      </c>
      <c r="H79" s="55" t="s">
        <v>11</v>
      </c>
      <c r="I79" s="1" t="s">
        <v>101</v>
      </c>
      <c r="J79" s="12" t="s">
        <v>112</v>
      </c>
      <c r="K79" s="12" t="s">
        <v>107</v>
      </c>
      <c r="L79" s="12"/>
      <c r="M79" s="65" t="s">
        <v>813</v>
      </c>
      <c r="N79" s="55"/>
      <c r="O79" s="1"/>
      <c r="P79" s="1"/>
      <c r="Q79" s="1"/>
      <c r="R79" s="1"/>
      <c r="S79" s="1"/>
      <c r="T79" s="1" t="s">
        <v>122</v>
      </c>
      <c r="U79" s="1" t="s">
        <v>122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61"/>
      <c r="AK79" s="167" t="s">
        <v>662</v>
      </c>
    </row>
    <row r="80" spans="1:37" ht="30">
      <c r="A80" s="14" t="s">
        <v>97</v>
      </c>
      <c r="B80" s="229" t="s">
        <v>97</v>
      </c>
      <c r="C80" s="167" t="s">
        <v>662</v>
      </c>
      <c r="D80" s="167"/>
      <c r="E80" s="12" t="s">
        <v>814</v>
      </c>
      <c r="F80" s="12" t="s">
        <v>684</v>
      </c>
      <c r="G80" s="12" t="s">
        <v>14</v>
      </c>
      <c r="H80" s="55" t="s">
        <v>11</v>
      </c>
      <c r="I80" s="1" t="s">
        <v>101</v>
      </c>
      <c r="J80" s="12" t="s">
        <v>112</v>
      </c>
      <c r="K80" s="12" t="s">
        <v>107</v>
      </c>
      <c r="L80" s="12"/>
      <c r="M80" s="12" t="s">
        <v>815</v>
      </c>
      <c r="N80" s="55"/>
      <c r="O80" s="14"/>
      <c r="P80" s="1"/>
      <c r="Q80" s="14"/>
      <c r="R80" s="14"/>
      <c r="S80" s="1"/>
      <c r="T80" s="1"/>
      <c r="U80" s="1"/>
      <c r="V80" s="1"/>
      <c r="W80" s="1"/>
      <c r="X80" s="1"/>
      <c r="Y80" s="1" t="s">
        <v>105</v>
      </c>
      <c r="Z80" s="1"/>
      <c r="AA80" s="1" t="s">
        <v>105</v>
      </c>
      <c r="AB80" s="1"/>
      <c r="AC80" s="1"/>
      <c r="AD80" s="1"/>
      <c r="AE80" s="1"/>
      <c r="AF80" s="1"/>
      <c r="AG80" s="1"/>
      <c r="AH80" s="1"/>
      <c r="AI80" s="61" t="s">
        <v>816</v>
      </c>
      <c r="AK80" s="167" t="s">
        <v>662</v>
      </c>
    </row>
    <row r="81" spans="1:37">
      <c r="A81" s="14" t="s">
        <v>97</v>
      </c>
      <c r="B81" s="229" t="s">
        <v>97</v>
      </c>
      <c r="C81" s="167" t="s">
        <v>662</v>
      </c>
      <c r="D81" s="167"/>
      <c r="E81" s="12" t="s">
        <v>817</v>
      </c>
      <c r="F81" s="12" t="s">
        <v>684</v>
      </c>
      <c r="G81" s="12" t="s">
        <v>673</v>
      </c>
      <c r="H81" s="55" t="s">
        <v>14</v>
      </c>
      <c r="I81" s="1" t="s">
        <v>101</v>
      </c>
      <c r="J81" s="12" t="s">
        <v>103</v>
      </c>
      <c r="K81" s="12" t="s">
        <v>107</v>
      </c>
      <c r="L81" s="12"/>
      <c r="M81" s="65" t="s">
        <v>676</v>
      </c>
      <c r="N81" s="5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61"/>
      <c r="AK81" s="167" t="s">
        <v>662</v>
      </c>
    </row>
    <row r="82" spans="1:37" ht="30">
      <c r="A82" s="14" t="s">
        <v>97</v>
      </c>
      <c r="B82" s="229" t="s">
        <v>97</v>
      </c>
      <c r="C82" s="167" t="s">
        <v>662</v>
      </c>
      <c r="D82" s="167"/>
      <c r="E82" s="12" t="s">
        <v>818</v>
      </c>
      <c r="F82" s="12" t="s">
        <v>684</v>
      </c>
      <c r="G82" s="12" t="s">
        <v>14</v>
      </c>
      <c r="H82" s="55" t="s">
        <v>11</v>
      </c>
      <c r="I82" s="1" t="s">
        <v>101</v>
      </c>
      <c r="J82" s="12" t="s">
        <v>112</v>
      </c>
      <c r="K82" s="12" t="s">
        <v>107</v>
      </c>
      <c r="L82" s="12"/>
      <c r="M82" s="12" t="s">
        <v>819</v>
      </c>
      <c r="N82" s="55"/>
      <c r="O82" s="1"/>
      <c r="P82" s="1"/>
      <c r="Q82" s="1"/>
      <c r="R82" s="1"/>
      <c r="S82" s="1"/>
      <c r="T82" s="1"/>
      <c r="U82" s="1"/>
      <c r="V82" s="1"/>
      <c r="W82" s="1"/>
      <c r="X82" s="1"/>
      <c r="Y82" s="1" t="s">
        <v>105</v>
      </c>
      <c r="Z82" s="1"/>
      <c r="AA82" s="1" t="s">
        <v>105</v>
      </c>
      <c r="AB82" s="1"/>
      <c r="AC82" s="1"/>
      <c r="AD82" s="1"/>
      <c r="AE82" s="1"/>
      <c r="AF82" s="1"/>
      <c r="AG82" s="1"/>
      <c r="AH82" s="1"/>
      <c r="AI82" s="61" t="s">
        <v>816</v>
      </c>
      <c r="AK82" s="167" t="s">
        <v>662</v>
      </c>
    </row>
    <row r="83" spans="1:37" ht="30">
      <c r="A83" s="14" t="s">
        <v>97</v>
      </c>
      <c r="B83" s="229" t="s">
        <v>97</v>
      </c>
      <c r="C83" s="167" t="s">
        <v>662</v>
      </c>
      <c r="D83" s="167"/>
      <c r="E83" s="12" t="s">
        <v>820</v>
      </c>
      <c r="F83" s="12" t="s">
        <v>684</v>
      </c>
      <c r="G83" s="12" t="s">
        <v>14</v>
      </c>
      <c r="H83" s="55" t="s">
        <v>11</v>
      </c>
      <c r="I83" s="1" t="s">
        <v>101</v>
      </c>
      <c r="J83" s="12" t="s">
        <v>112</v>
      </c>
      <c r="K83" s="12" t="s">
        <v>107</v>
      </c>
      <c r="L83" s="12"/>
      <c r="M83" s="12" t="s">
        <v>821</v>
      </c>
      <c r="N83" s="55" t="s">
        <v>105</v>
      </c>
      <c r="O83" s="1"/>
      <c r="P83" s="1"/>
      <c r="Q83" s="1"/>
      <c r="R83" s="1"/>
      <c r="S83" s="1"/>
      <c r="T83" s="1" t="s">
        <v>122</v>
      </c>
      <c r="U83" s="1" t="s">
        <v>122</v>
      </c>
      <c r="V83" s="1"/>
      <c r="W83" s="1"/>
      <c r="X83" s="1"/>
      <c r="Y83" s="1" t="s">
        <v>105</v>
      </c>
      <c r="Z83" s="1"/>
      <c r="AA83" s="1" t="s">
        <v>105</v>
      </c>
      <c r="AB83" s="1"/>
      <c r="AC83" s="1"/>
      <c r="AD83" s="1"/>
      <c r="AE83" s="1"/>
      <c r="AF83" s="1"/>
      <c r="AG83" s="1"/>
      <c r="AH83" s="1"/>
      <c r="AI83" s="61" t="s">
        <v>816</v>
      </c>
      <c r="AK83" s="167" t="s">
        <v>662</v>
      </c>
    </row>
    <row r="84" spans="1:37" ht="30">
      <c r="A84" s="14" t="s">
        <v>97</v>
      </c>
      <c r="B84" s="229" t="s">
        <v>97</v>
      </c>
      <c r="C84" s="167" t="s">
        <v>662</v>
      </c>
      <c r="D84" s="167"/>
      <c r="E84" s="12" t="s">
        <v>822</v>
      </c>
      <c r="F84" s="12" t="s">
        <v>684</v>
      </c>
      <c r="G84" s="12" t="s">
        <v>14</v>
      </c>
      <c r="H84" s="55" t="s">
        <v>11</v>
      </c>
      <c r="I84" s="1" t="s">
        <v>101</v>
      </c>
      <c r="J84" s="12" t="s">
        <v>112</v>
      </c>
      <c r="K84" s="12" t="s">
        <v>107</v>
      </c>
      <c r="L84" s="12"/>
      <c r="M84" s="12" t="s">
        <v>821</v>
      </c>
      <c r="N84" s="55" t="s">
        <v>105</v>
      </c>
      <c r="O84" s="1"/>
      <c r="P84" s="1"/>
      <c r="Q84" s="1"/>
      <c r="R84" s="1"/>
      <c r="S84" s="1"/>
      <c r="T84" s="1" t="s">
        <v>122</v>
      </c>
      <c r="U84" s="1" t="s">
        <v>122</v>
      </c>
      <c r="V84" s="1"/>
      <c r="W84" s="1"/>
      <c r="X84" s="1"/>
      <c r="Y84" s="1" t="s">
        <v>105</v>
      </c>
      <c r="Z84" s="1"/>
      <c r="AA84" s="1" t="s">
        <v>105</v>
      </c>
      <c r="AB84" s="1"/>
      <c r="AC84" s="1"/>
      <c r="AD84" s="1"/>
      <c r="AE84" s="1"/>
      <c r="AF84" s="1"/>
      <c r="AG84" s="1"/>
      <c r="AH84" s="1"/>
      <c r="AI84" s="61" t="s">
        <v>816</v>
      </c>
      <c r="AK84" s="167" t="s">
        <v>662</v>
      </c>
    </row>
    <row r="85" spans="1:37" ht="30">
      <c r="A85" s="14" t="s">
        <v>97</v>
      </c>
      <c r="B85" s="229" t="s">
        <v>97</v>
      </c>
      <c r="C85" s="167" t="s">
        <v>662</v>
      </c>
      <c r="D85" s="167"/>
      <c r="E85" s="12" t="s">
        <v>823</v>
      </c>
      <c r="F85" s="12" t="s">
        <v>684</v>
      </c>
      <c r="G85" s="12" t="s">
        <v>14</v>
      </c>
      <c r="H85" s="55" t="s">
        <v>11</v>
      </c>
      <c r="I85" s="1" t="s">
        <v>101</v>
      </c>
      <c r="J85" s="12" t="s">
        <v>112</v>
      </c>
      <c r="K85" s="12" t="s">
        <v>107</v>
      </c>
      <c r="L85" s="12"/>
      <c r="M85" s="65" t="s">
        <v>362</v>
      </c>
      <c r="N85" s="55"/>
      <c r="O85" s="1"/>
      <c r="P85" s="1"/>
      <c r="Q85" s="1"/>
      <c r="R85" s="1"/>
      <c r="S85" s="1"/>
      <c r="T85" s="1" t="s">
        <v>105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61"/>
      <c r="AK85" s="167" t="s">
        <v>662</v>
      </c>
    </row>
    <row r="86" spans="1:37" ht="30">
      <c r="A86" s="14" t="s">
        <v>97</v>
      </c>
      <c r="B86" s="229" t="s">
        <v>97</v>
      </c>
      <c r="C86" s="167" t="s">
        <v>662</v>
      </c>
      <c r="D86" s="167"/>
      <c r="E86" s="12" t="s">
        <v>824</v>
      </c>
      <c r="F86" s="12" t="s">
        <v>684</v>
      </c>
      <c r="G86" s="12" t="s">
        <v>14</v>
      </c>
      <c r="H86" s="55" t="s">
        <v>11</v>
      </c>
      <c r="I86" s="1" t="s">
        <v>101</v>
      </c>
      <c r="J86" s="12" t="s">
        <v>112</v>
      </c>
      <c r="K86" s="12" t="s">
        <v>107</v>
      </c>
      <c r="L86" s="12"/>
      <c r="M86" s="65" t="s">
        <v>825</v>
      </c>
      <c r="N86" s="55" t="s">
        <v>105</v>
      </c>
      <c r="O86" s="1"/>
      <c r="P86" s="1"/>
      <c r="Q86" s="1"/>
      <c r="R86" s="1"/>
      <c r="S86" s="1"/>
      <c r="T86" s="1" t="s">
        <v>105</v>
      </c>
      <c r="U86" s="1" t="s">
        <v>105</v>
      </c>
      <c r="V86" s="1"/>
      <c r="W86" s="1" t="s">
        <v>105</v>
      </c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61"/>
      <c r="AK86" s="167" t="s">
        <v>662</v>
      </c>
    </row>
    <row r="87" spans="1:37" ht="30">
      <c r="A87" s="14" t="s">
        <v>97</v>
      </c>
      <c r="B87" s="229" t="s">
        <v>97</v>
      </c>
      <c r="C87" s="167" t="s">
        <v>662</v>
      </c>
      <c r="D87" s="167"/>
      <c r="E87" s="12" t="s">
        <v>826</v>
      </c>
      <c r="F87" s="12" t="s">
        <v>684</v>
      </c>
      <c r="G87" s="12" t="s">
        <v>14</v>
      </c>
      <c r="H87" s="55" t="s">
        <v>11</v>
      </c>
      <c r="I87" s="1" t="s">
        <v>101</v>
      </c>
      <c r="J87" s="12" t="s">
        <v>112</v>
      </c>
      <c r="K87" s="12" t="s">
        <v>107</v>
      </c>
      <c r="L87" s="12"/>
      <c r="M87" s="65" t="s">
        <v>827</v>
      </c>
      <c r="N87" s="55"/>
      <c r="O87" s="1"/>
      <c r="P87" s="1" t="s">
        <v>105</v>
      </c>
      <c r="Q87" s="1" t="s">
        <v>105</v>
      </c>
      <c r="R87" s="1"/>
      <c r="S87" s="1"/>
      <c r="T87" s="1"/>
      <c r="U87" s="1" t="s">
        <v>105</v>
      </c>
      <c r="V87" s="1"/>
      <c r="W87" s="1" t="s">
        <v>105</v>
      </c>
      <c r="X87" s="1"/>
      <c r="Y87" s="1" t="s">
        <v>105</v>
      </c>
      <c r="Z87" s="1"/>
      <c r="AA87" s="1"/>
      <c r="AB87" s="1"/>
      <c r="AC87" s="1"/>
      <c r="AD87" s="1"/>
      <c r="AE87" s="1" t="s">
        <v>105</v>
      </c>
      <c r="AF87" s="1"/>
      <c r="AG87" s="1"/>
      <c r="AH87" s="1"/>
      <c r="AI87" s="61"/>
      <c r="AK87" s="167" t="s">
        <v>662</v>
      </c>
    </row>
    <row r="88" spans="1:37" ht="30">
      <c r="A88" s="14" t="s">
        <v>97</v>
      </c>
      <c r="B88" s="229" t="s">
        <v>97</v>
      </c>
      <c r="C88" s="167" t="s">
        <v>662</v>
      </c>
      <c r="D88" s="167"/>
      <c r="E88" s="12" t="s">
        <v>828</v>
      </c>
      <c r="F88" s="12" t="s">
        <v>684</v>
      </c>
      <c r="G88" s="12" t="s">
        <v>14</v>
      </c>
      <c r="H88" s="55" t="s">
        <v>11</v>
      </c>
      <c r="I88" s="1" t="s">
        <v>101</v>
      </c>
      <c r="J88" s="12" t="s">
        <v>112</v>
      </c>
      <c r="K88" s="12" t="s">
        <v>107</v>
      </c>
      <c r="L88" s="12"/>
      <c r="M88" s="12" t="s">
        <v>829</v>
      </c>
      <c r="N88" s="55" t="s">
        <v>105</v>
      </c>
      <c r="O88" s="1"/>
      <c r="P88" s="1"/>
      <c r="Q88" s="1"/>
      <c r="R88" s="1"/>
      <c r="S88" s="1"/>
      <c r="T88" s="1" t="s">
        <v>122</v>
      </c>
      <c r="U88" s="1" t="s">
        <v>122</v>
      </c>
      <c r="V88" s="1"/>
      <c r="W88" s="1"/>
      <c r="X88" s="1"/>
      <c r="Y88" s="1" t="s">
        <v>105</v>
      </c>
      <c r="Z88" s="1"/>
      <c r="AA88" s="1" t="s">
        <v>105</v>
      </c>
      <c r="AB88" s="1"/>
      <c r="AC88" s="1"/>
      <c r="AD88" s="1"/>
      <c r="AE88" s="1"/>
      <c r="AF88" s="1"/>
      <c r="AG88" s="1"/>
      <c r="AH88" s="1"/>
      <c r="AI88" s="61" t="s">
        <v>816</v>
      </c>
      <c r="AK88" s="167" t="s">
        <v>662</v>
      </c>
    </row>
    <row r="89" spans="1:37">
      <c r="A89" s="14" t="s">
        <v>97</v>
      </c>
      <c r="B89" s="229" t="s">
        <v>97</v>
      </c>
      <c r="C89" s="167" t="s">
        <v>662</v>
      </c>
      <c r="D89" s="167"/>
      <c r="E89" s="12" t="s">
        <v>830</v>
      </c>
      <c r="F89" s="12" t="s">
        <v>684</v>
      </c>
      <c r="G89" s="12" t="s">
        <v>673</v>
      </c>
      <c r="H89" s="55" t="s">
        <v>14</v>
      </c>
      <c r="I89" s="1" t="s">
        <v>101</v>
      </c>
      <c r="J89" s="1" t="s">
        <v>103</v>
      </c>
      <c r="K89" s="1" t="s">
        <v>103</v>
      </c>
      <c r="L89" s="12"/>
      <c r="M89" s="65" t="s">
        <v>831</v>
      </c>
      <c r="N89" s="55"/>
      <c r="O89" s="55"/>
      <c r="P89" s="55"/>
      <c r="Q89" s="55"/>
      <c r="R89" s="55"/>
      <c r="S89" s="14"/>
      <c r="T89" s="14" t="s">
        <v>122</v>
      </c>
      <c r="U89" s="14" t="s">
        <v>122</v>
      </c>
      <c r="V89" s="14"/>
      <c r="W89" s="14" t="s">
        <v>122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61"/>
      <c r="AK89" s="167" t="s">
        <v>662</v>
      </c>
    </row>
    <row r="90" spans="1:37" ht="30">
      <c r="A90" s="14" t="s">
        <v>97</v>
      </c>
      <c r="B90" s="229" t="s">
        <v>97</v>
      </c>
      <c r="C90" s="167" t="s">
        <v>662</v>
      </c>
      <c r="D90" s="167"/>
      <c r="E90" s="12" t="s">
        <v>832</v>
      </c>
      <c r="F90" s="12" t="s">
        <v>684</v>
      </c>
      <c r="G90" s="12" t="s">
        <v>14</v>
      </c>
      <c r="H90" s="55" t="s">
        <v>11</v>
      </c>
      <c r="I90" s="1" t="s">
        <v>101</v>
      </c>
      <c r="J90" s="12" t="s">
        <v>112</v>
      </c>
      <c r="K90" s="12" t="s">
        <v>107</v>
      </c>
      <c r="L90" s="12"/>
      <c r="M90" s="12" t="s">
        <v>829</v>
      </c>
      <c r="N90" s="55" t="s">
        <v>105</v>
      </c>
      <c r="O90" s="1"/>
      <c r="P90" s="1"/>
      <c r="Q90" s="1"/>
      <c r="R90" s="1"/>
      <c r="S90" s="1"/>
      <c r="T90" s="1" t="s">
        <v>122</v>
      </c>
      <c r="U90" s="1" t="s">
        <v>122</v>
      </c>
      <c r="V90" s="1"/>
      <c r="W90" s="1"/>
      <c r="X90" s="1"/>
      <c r="Y90" s="1" t="s">
        <v>105</v>
      </c>
      <c r="Z90" s="1"/>
      <c r="AA90" s="1" t="s">
        <v>105</v>
      </c>
      <c r="AB90" s="1"/>
      <c r="AC90" s="1"/>
      <c r="AD90" s="1"/>
      <c r="AE90" s="1"/>
      <c r="AF90" s="1"/>
      <c r="AG90" s="1"/>
      <c r="AH90" s="1"/>
      <c r="AI90" s="61" t="s">
        <v>816</v>
      </c>
      <c r="AK90" s="167" t="s">
        <v>662</v>
      </c>
    </row>
    <row r="91" spans="1:37" ht="30">
      <c r="A91" s="14" t="s">
        <v>97</v>
      </c>
      <c r="B91" s="230" t="s">
        <v>97</v>
      </c>
      <c r="C91" s="167" t="s">
        <v>662</v>
      </c>
      <c r="D91" s="233"/>
      <c r="E91" s="33" t="s">
        <v>833</v>
      </c>
      <c r="F91" s="33" t="s">
        <v>672</v>
      </c>
      <c r="G91" s="27" t="s">
        <v>14</v>
      </c>
      <c r="H91" s="76" t="s">
        <v>11</v>
      </c>
      <c r="I91" s="28" t="s">
        <v>101</v>
      </c>
      <c r="J91" s="27" t="s">
        <v>112</v>
      </c>
      <c r="K91" s="27" t="s">
        <v>107</v>
      </c>
      <c r="L91" s="27"/>
      <c r="M91" s="27" t="s">
        <v>834</v>
      </c>
      <c r="N91" s="76" t="s">
        <v>105</v>
      </c>
      <c r="O91" s="76"/>
      <c r="P91" s="76" t="s">
        <v>105</v>
      </c>
      <c r="Q91" s="76" t="s">
        <v>105</v>
      </c>
      <c r="R91" s="76"/>
      <c r="S91" s="122"/>
      <c r="T91" s="122" t="s">
        <v>105</v>
      </c>
      <c r="U91" s="122" t="s">
        <v>105</v>
      </c>
      <c r="V91" s="122"/>
      <c r="W91" s="122" t="s">
        <v>105</v>
      </c>
      <c r="X91" s="122"/>
      <c r="Y91" s="122"/>
      <c r="Z91" s="122"/>
      <c r="AA91" s="122" t="s">
        <v>105</v>
      </c>
      <c r="AB91" s="122"/>
      <c r="AC91" s="122"/>
      <c r="AD91" s="122"/>
      <c r="AE91" s="122" t="s">
        <v>105</v>
      </c>
      <c r="AF91" s="122"/>
      <c r="AG91" s="122"/>
      <c r="AH91" s="122"/>
      <c r="AI91" s="60"/>
      <c r="AK91" s="167" t="s">
        <v>662</v>
      </c>
    </row>
    <row r="92" spans="1:37">
      <c r="A92" s="14" t="s">
        <v>96</v>
      </c>
      <c r="B92" s="231" t="s">
        <v>97</v>
      </c>
      <c r="C92" s="167" t="s">
        <v>662</v>
      </c>
      <c r="D92" s="167"/>
      <c r="E92" s="129" t="s">
        <v>835</v>
      </c>
      <c r="F92" s="12"/>
      <c r="G92" s="55"/>
      <c r="H92" s="55"/>
      <c r="I92" s="14"/>
      <c r="J92" s="12"/>
      <c r="K92" s="12"/>
      <c r="L92" s="12"/>
      <c r="M92" s="12"/>
      <c r="N92" s="55"/>
      <c r="O92" s="55"/>
      <c r="P92" s="55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"/>
      <c r="AI92" s="61"/>
      <c r="AK92" s="167" t="s">
        <v>662</v>
      </c>
    </row>
    <row r="93" spans="1:37">
      <c r="A93" s="14" t="s">
        <v>96</v>
      </c>
      <c r="B93" s="231" t="s">
        <v>97</v>
      </c>
      <c r="C93" s="167" t="s">
        <v>662</v>
      </c>
      <c r="D93" s="167"/>
      <c r="E93" s="129" t="s">
        <v>836</v>
      </c>
      <c r="F93" s="12"/>
      <c r="G93" s="55"/>
      <c r="H93" s="55"/>
      <c r="I93" s="14"/>
      <c r="J93" s="12"/>
      <c r="K93" s="12"/>
      <c r="L93" s="12"/>
      <c r="M93" s="12"/>
      <c r="N93" s="55"/>
      <c r="O93" s="55"/>
      <c r="P93" s="55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"/>
      <c r="AI93" s="61"/>
      <c r="AK93" s="167" t="s">
        <v>662</v>
      </c>
    </row>
    <row r="94" spans="1:37">
      <c r="A94" s="14" t="s">
        <v>96</v>
      </c>
      <c r="B94" s="231" t="s">
        <v>97</v>
      </c>
      <c r="C94" s="167" t="s">
        <v>662</v>
      </c>
      <c r="D94" s="167"/>
      <c r="E94" s="129" t="s">
        <v>783</v>
      </c>
      <c r="F94" s="12"/>
      <c r="G94" s="55"/>
      <c r="H94" s="55"/>
      <c r="I94" s="14"/>
      <c r="J94" s="12"/>
      <c r="K94" s="12"/>
      <c r="L94" s="12"/>
      <c r="M94" s="12"/>
      <c r="N94" s="55"/>
      <c r="O94" s="55"/>
      <c r="P94" s="55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"/>
      <c r="AI94" s="61"/>
      <c r="AK94" s="167" t="s">
        <v>662</v>
      </c>
    </row>
    <row r="95" spans="1:37">
      <c r="A95" s="122" t="s">
        <v>96</v>
      </c>
      <c r="B95" s="232" t="s">
        <v>97</v>
      </c>
      <c r="C95" s="167" t="s">
        <v>662</v>
      </c>
      <c r="D95" s="233"/>
      <c r="E95" s="130" t="s">
        <v>837</v>
      </c>
      <c r="F95" s="27"/>
      <c r="G95" s="76"/>
      <c r="H95" s="76"/>
      <c r="I95" s="122"/>
      <c r="J95" s="27"/>
      <c r="K95" s="27"/>
      <c r="L95" s="27"/>
      <c r="M95" s="27"/>
      <c r="N95" s="76"/>
      <c r="O95" s="76"/>
      <c r="P95" s="76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28"/>
      <c r="AI95" s="60"/>
      <c r="AK95" s="167" t="s">
        <v>662</v>
      </c>
    </row>
    <row r="98" spans="5:11">
      <c r="E98" s="131" t="s">
        <v>838</v>
      </c>
    </row>
    <row r="100" spans="5:11">
      <c r="E100" s="89" t="s">
        <v>839</v>
      </c>
    </row>
    <row r="101" spans="5:11">
      <c r="H101" s="254" t="s">
        <v>840</v>
      </c>
      <c r="J101" s="255" t="s">
        <v>841</v>
      </c>
    </row>
    <row r="102" spans="5:11">
      <c r="E102" s="169" t="s">
        <v>842</v>
      </c>
      <c r="H102" s="252" t="s">
        <v>843</v>
      </c>
      <c r="I102" s="253" t="s">
        <v>29</v>
      </c>
      <c r="J102" s="256" t="s">
        <v>844</v>
      </c>
      <c r="K102" s="257" t="s">
        <v>29</v>
      </c>
    </row>
    <row r="103" spans="5:11">
      <c r="E103" s="89" t="s">
        <v>845</v>
      </c>
      <c r="F103" s="106" t="s">
        <v>846</v>
      </c>
      <c r="G103" s="106" t="s">
        <v>847</v>
      </c>
      <c r="H103" s="106" t="s">
        <v>848</v>
      </c>
      <c r="I103" s="106" t="s">
        <v>849</v>
      </c>
      <c r="J103" s="258" t="s">
        <v>850</v>
      </c>
      <c r="K103" s="89" t="s">
        <v>849</v>
      </c>
    </row>
    <row r="104" spans="5:11">
      <c r="E104" s="89" t="s">
        <v>851</v>
      </c>
      <c r="F104" s="106" t="s">
        <v>852</v>
      </c>
      <c r="G104" s="106" t="s">
        <v>853</v>
      </c>
      <c r="H104" s="106" t="s">
        <v>854</v>
      </c>
      <c r="I104" s="106" t="s">
        <v>849</v>
      </c>
      <c r="J104" s="258" t="s">
        <v>855</v>
      </c>
      <c r="K104" s="89" t="s">
        <v>849</v>
      </c>
    </row>
    <row r="105" spans="5:11">
      <c r="E105" s="89" t="s">
        <v>856</v>
      </c>
      <c r="F105" s="106" t="s">
        <v>857</v>
      </c>
      <c r="G105" s="106" t="s">
        <v>858</v>
      </c>
      <c r="H105" s="106" t="s">
        <v>859</v>
      </c>
      <c r="I105" s="106" t="s">
        <v>849</v>
      </c>
      <c r="J105" s="258" t="s">
        <v>860</v>
      </c>
      <c r="K105" s="89" t="s">
        <v>849</v>
      </c>
    </row>
    <row r="106" spans="5:11">
      <c r="E106" s="89" t="s">
        <v>741</v>
      </c>
      <c r="G106" s="106" t="s">
        <v>861</v>
      </c>
      <c r="H106" s="106" t="s">
        <v>862</v>
      </c>
      <c r="I106" s="106" t="s">
        <v>849</v>
      </c>
      <c r="J106" s="258" t="s">
        <v>863</v>
      </c>
      <c r="K106" s="89" t="s">
        <v>849</v>
      </c>
    </row>
    <row r="107" spans="5:11">
      <c r="E107" s="89" t="s">
        <v>864</v>
      </c>
      <c r="H107" s="106" t="s">
        <v>865</v>
      </c>
      <c r="I107" s="106" t="s">
        <v>849</v>
      </c>
      <c r="J107" s="259" t="s">
        <v>866</v>
      </c>
      <c r="K107" s="89" t="s">
        <v>849</v>
      </c>
    </row>
    <row r="108" spans="5:11">
      <c r="E108" s="89" t="s">
        <v>702</v>
      </c>
      <c r="H108" s="106" t="s">
        <v>867</v>
      </c>
      <c r="I108" s="106" t="s">
        <v>868</v>
      </c>
      <c r="J108" s="259" t="s">
        <v>869</v>
      </c>
      <c r="K108" s="260"/>
    </row>
    <row r="109" spans="5:11">
      <c r="E109" s="89" t="s">
        <v>147</v>
      </c>
      <c r="H109" s="106" t="s">
        <v>870</v>
      </c>
      <c r="I109" s="89" t="s">
        <v>868</v>
      </c>
      <c r="J109" s="261" t="s">
        <v>870</v>
      </c>
      <c r="K109" s="89" t="s">
        <v>868</v>
      </c>
    </row>
    <row r="110" spans="5:11">
      <c r="E110" s="89" t="s">
        <v>728</v>
      </c>
      <c r="H110" s="106" t="s">
        <v>871</v>
      </c>
      <c r="I110" s="106" t="s">
        <v>849</v>
      </c>
      <c r="J110" s="258" t="s">
        <v>872</v>
      </c>
      <c r="K110" s="262" t="s">
        <v>849</v>
      </c>
    </row>
    <row r="111" spans="5:11">
      <c r="E111" s="89" t="s">
        <v>873</v>
      </c>
      <c r="H111" s="106" t="s">
        <v>874</v>
      </c>
      <c r="I111" s="106" t="s">
        <v>868</v>
      </c>
      <c r="J111" s="263" t="s">
        <v>875</v>
      </c>
      <c r="K111" s="264" t="s">
        <v>849</v>
      </c>
    </row>
    <row r="112" spans="5:11">
      <c r="E112" s="89" t="s">
        <v>876</v>
      </c>
      <c r="H112" s="106" t="s">
        <v>877</v>
      </c>
      <c r="I112" s="106" t="s">
        <v>868</v>
      </c>
      <c r="J112" s="259" t="s">
        <v>878</v>
      </c>
      <c r="K112" s="260" t="s">
        <v>849</v>
      </c>
    </row>
    <row r="113" spans="5:11">
      <c r="H113" s="106" t="s">
        <v>879</v>
      </c>
      <c r="I113" s="106" t="s">
        <v>849</v>
      </c>
      <c r="J113" s="258" t="s">
        <v>880</v>
      </c>
      <c r="K113" s="89" t="s">
        <v>849</v>
      </c>
    </row>
    <row r="114" spans="5:11">
      <c r="E114" s="89" t="s">
        <v>881</v>
      </c>
      <c r="H114" s="106" t="s">
        <v>882</v>
      </c>
      <c r="I114" s="106" t="s">
        <v>849</v>
      </c>
      <c r="J114" s="78" t="s">
        <v>883</v>
      </c>
      <c r="K114" s="79"/>
    </row>
    <row r="115" spans="5:11">
      <c r="E115" s="89" t="s">
        <v>884</v>
      </c>
      <c r="H115" s="106" t="s">
        <v>885</v>
      </c>
      <c r="I115" s="106" t="s">
        <v>868</v>
      </c>
      <c r="J115" s="265" t="s">
        <v>886</v>
      </c>
      <c r="K115" s="266"/>
    </row>
    <row r="116" spans="5:11">
      <c r="E116" s="89" t="s">
        <v>887</v>
      </c>
      <c r="H116" s="106" t="s">
        <v>888</v>
      </c>
      <c r="I116" s="106" t="s">
        <v>868</v>
      </c>
      <c r="J116" s="78" t="s">
        <v>889</v>
      </c>
      <c r="K116" s="79"/>
    </row>
    <row r="117" spans="5:11">
      <c r="E117" s="89" t="s">
        <v>849</v>
      </c>
      <c r="H117" s="106" t="s">
        <v>890</v>
      </c>
      <c r="I117" s="106"/>
      <c r="J117" s="267" t="s">
        <v>891</v>
      </c>
      <c r="K117" s="268"/>
    </row>
    <row r="118" spans="5:11">
      <c r="H118" s="106" t="s">
        <v>892</v>
      </c>
      <c r="I118" s="89" t="s">
        <v>868</v>
      </c>
      <c r="J118" s="197" t="s">
        <v>893</v>
      </c>
      <c r="K118" s="269" t="s">
        <v>849</v>
      </c>
    </row>
    <row r="119" spans="5:11">
      <c r="H119" s="106" t="s">
        <v>894</v>
      </c>
      <c r="I119" s="89" t="s">
        <v>868</v>
      </c>
      <c r="J119" s="270" t="s">
        <v>895</v>
      </c>
      <c r="K119" s="89" t="s">
        <v>868</v>
      </c>
    </row>
    <row r="120" spans="5:11">
      <c r="H120" s="106" t="s">
        <v>896</v>
      </c>
      <c r="I120" s="106" t="s">
        <v>868</v>
      </c>
      <c r="J120" s="271" t="s">
        <v>897</v>
      </c>
      <c r="K120" s="89" t="s">
        <v>868</v>
      </c>
    </row>
    <row r="121" spans="5:11">
      <c r="H121" s="106" t="s">
        <v>898</v>
      </c>
      <c r="I121" s="106" t="s">
        <v>868</v>
      </c>
      <c r="J121" s="271" t="s">
        <v>899</v>
      </c>
      <c r="K121" s="89" t="s">
        <v>868</v>
      </c>
    </row>
    <row r="122" spans="5:11">
      <c r="H122" s="106" t="s">
        <v>900</v>
      </c>
      <c r="I122" s="106" t="s">
        <v>868</v>
      </c>
      <c r="J122" s="271" t="s">
        <v>901</v>
      </c>
      <c r="K122" s="89" t="s">
        <v>868</v>
      </c>
    </row>
    <row r="123" spans="5:11">
      <c r="H123" s="106" t="s">
        <v>902</v>
      </c>
      <c r="I123" s="106" t="s">
        <v>849</v>
      </c>
      <c r="J123" s="271" t="s">
        <v>903</v>
      </c>
      <c r="K123" s="89" t="s">
        <v>868</v>
      </c>
    </row>
    <row r="124" spans="5:11">
      <c r="H124" s="106" t="s">
        <v>904</v>
      </c>
      <c r="I124" s="106" t="s">
        <v>849</v>
      </c>
      <c r="J124" s="267" t="s">
        <v>905</v>
      </c>
      <c r="K124" s="268"/>
    </row>
    <row r="125" spans="5:11">
      <c r="H125" s="106" t="s">
        <v>906</v>
      </c>
      <c r="I125" s="89" t="s">
        <v>868</v>
      </c>
      <c r="J125" s="78" t="s">
        <v>907</v>
      </c>
      <c r="K125" s="89" t="s">
        <v>849</v>
      </c>
    </row>
    <row r="126" spans="5:11">
      <c r="H126" s="106" t="s">
        <v>908</v>
      </c>
      <c r="I126" s="89" t="s">
        <v>868</v>
      </c>
      <c r="J126" s="259" t="s">
        <v>909</v>
      </c>
      <c r="K126" s="260"/>
    </row>
    <row r="127" spans="5:11">
      <c r="H127" s="106" t="s">
        <v>910</v>
      </c>
      <c r="I127" s="106" t="s">
        <v>868</v>
      </c>
      <c r="J127" s="78" t="s">
        <v>911</v>
      </c>
      <c r="K127" s="79" t="s">
        <v>849</v>
      </c>
    </row>
    <row r="128" spans="5:11">
      <c r="H128" s="106" t="s">
        <v>912</v>
      </c>
      <c r="I128" s="106" t="s">
        <v>868</v>
      </c>
      <c r="J128" s="88" t="s">
        <v>906</v>
      </c>
      <c r="K128" s="272" t="s">
        <v>913</v>
      </c>
    </row>
    <row r="129" spans="8:11">
      <c r="H129" s="106" t="s">
        <v>914</v>
      </c>
      <c r="I129" s="106" t="s">
        <v>849</v>
      </c>
      <c r="J129" s="271" t="s">
        <v>915</v>
      </c>
      <c r="K129" s="79" t="s">
        <v>916</v>
      </c>
    </row>
    <row r="130" spans="8:11">
      <c r="H130" s="106" t="s">
        <v>917</v>
      </c>
      <c r="I130" s="106" t="s">
        <v>849</v>
      </c>
      <c r="J130" s="273" t="s">
        <v>918</v>
      </c>
      <c r="K130" s="89" t="s">
        <v>868</v>
      </c>
    </row>
    <row r="131" spans="8:11">
      <c r="H131" s="106" t="s">
        <v>919</v>
      </c>
      <c r="I131" s="106" t="s">
        <v>868</v>
      </c>
      <c r="J131" s="271" t="s">
        <v>920</v>
      </c>
      <c r="K131" s="89" t="s">
        <v>868</v>
      </c>
    </row>
    <row r="132" spans="8:11">
      <c r="H132" s="106" t="s">
        <v>921</v>
      </c>
      <c r="I132" s="106" t="s">
        <v>849</v>
      </c>
      <c r="J132" s="88" t="s">
        <v>922</v>
      </c>
      <c r="K132" s="274" t="s">
        <v>923</v>
      </c>
    </row>
    <row r="133" spans="8:11">
      <c r="H133" s="106" t="s">
        <v>924</v>
      </c>
      <c r="I133" s="106" t="s">
        <v>849</v>
      </c>
      <c r="J133" s="258" t="s">
        <v>925</v>
      </c>
      <c r="K133" s="89" t="s">
        <v>849</v>
      </c>
    </row>
    <row r="134" spans="8:11">
      <c r="H134" s="106" t="s">
        <v>926</v>
      </c>
      <c r="I134" s="106" t="s">
        <v>927</v>
      </c>
      <c r="J134" s="275" t="s">
        <v>928</v>
      </c>
      <c r="K134" s="276" t="s">
        <v>849</v>
      </c>
    </row>
    <row r="135" spans="8:11">
      <c r="H135" s="106" t="s">
        <v>929</v>
      </c>
      <c r="I135" s="106" t="s">
        <v>868</v>
      </c>
      <c r="J135" s="277" t="s">
        <v>919</v>
      </c>
      <c r="K135" s="272" t="s">
        <v>913</v>
      </c>
    </row>
    <row r="136" spans="8:11">
      <c r="H136" s="106" t="s">
        <v>930</v>
      </c>
      <c r="I136" s="106" t="s">
        <v>927</v>
      </c>
      <c r="J136" s="78" t="s">
        <v>931</v>
      </c>
      <c r="K136" s="79" t="s">
        <v>849</v>
      </c>
    </row>
    <row r="137" spans="8:11">
      <c r="H137" s="106" t="s">
        <v>932</v>
      </c>
      <c r="I137" s="106" t="s">
        <v>868</v>
      </c>
      <c r="J137" s="278" t="s">
        <v>933</v>
      </c>
      <c r="K137" s="279" t="s">
        <v>849</v>
      </c>
    </row>
    <row r="138" spans="8:11">
      <c r="H138" s="106" t="s">
        <v>934</v>
      </c>
      <c r="I138" s="106" t="s">
        <v>868</v>
      </c>
      <c r="J138" s="280" t="s">
        <v>935</v>
      </c>
      <c r="K138" s="274" t="s">
        <v>923</v>
      </c>
    </row>
    <row r="139" spans="8:11">
      <c r="H139" s="106" t="s">
        <v>936</v>
      </c>
      <c r="I139" s="106" t="s">
        <v>849</v>
      </c>
      <c r="J139" s="275" t="s">
        <v>937</v>
      </c>
      <c r="K139" s="276"/>
    </row>
    <row r="140" spans="8:11">
      <c r="H140" s="106" t="s">
        <v>938</v>
      </c>
      <c r="I140" s="106" t="s">
        <v>849</v>
      </c>
      <c r="J140" s="281" t="s">
        <v>939</v>
      </c>
      <c r="K140" s="89" t="s">
        <v>868</v>
      </c>
    </row>
    <row r="141" spans="8:11">
      <c r="H141" s="106" t="s">
        <v>940</v>
      </c>
      <c r="I141" s="106" t="s">
        <v>849</v>
      </c>
      <c r="J141" s="282" t="s">
        <v>941</v>
      </c>
      <c r="K141" s="274" t="s">
        <v>927</v>
      </c>
    </row>
    <row r="142" spans="8:11">
      <c r="H142" s="106" t="s">
        <v>942</v>
      </c>
      <c r="I142" s="106" t="s">
        <v>849</v>
      </c>
      <c r="J142" s="283" t="s">
        <v>943</v>
      </c>
      <c r="K142" s="284" t="s">
        <v>868</v>
      </c>
    </row>
    <row r="143" spans="8:11">
      <c r="H143" s="106" t="s">
        <v>944</v>
      </c>
      <c r="I143" s="106" t="s">
        <v>849</v>
      </c>
      <c r="J143" s="197" t="s">
        <v>945</v>
      </c>
      <c r="K143" s="269" t="s">
        <v>946</v>
      </c>
    </row>
    <row r="144" spans="8:11">
      <c r="H144" s="106" t="s">
        <v>947</v>
      </c>
      <c r="I144" s="89" t="s">
        <v>868</v>
      </c>
      <c r="J144" s="78" t="s">
        <v>948</v>
      </c>
      <c r="K144" s="89" t="s">
        <v>849</v>
      </c>
    </row>
    <row r="145" spans="8:11">
      <c r="H145" s="106" t="s">
        <v>949</v>
      </c>
      <c r="I145" s="89" t="s">
        <v>868</v>
      </c>
      <c r="J145" s="78" t="s">
        <v>950</v>
      </c>
      <c r="K145" s="89" t="s">
        <v>849</v>
      </c>
    </row>
    <row r="146" spans="8:11">
      <c r="H146" s="106" t="s">
        <v>951</v>
      </c>
      <c r="I146" s="89" t="s">
        <v>868</v>
      </c>
      <c r="J146" s="78" t="s">
        <v>952</v>
      </c>
      <c r="K146" s="89" t="s">
        <v>849</v>
      </c>
    </row>
    <row r="147" spans="8:11">
      <c r="H147" s="106" t="s">
        <v>953</v>
      </c>
      <c r="I147" s="89" t="s">
        <v>868</v>
      </c>
      <c r="J147" s="258" t="s">
        <v>954</v>
      </c>
      <c r="K147" s="89" t="s">
        <v>849</v>
      </c>
    </row>
    <row r="148" spans="8:11">
      <c r="J148" s="283" t="s">
        <v>955</v>
      </c>
      <c r="K148" s="89" t="s">
        <v>868</v>
      </c>
    </row>
    <row r="149" spans="8:11">
      <c r="J149" s="283" t="s">
        <v>956</v>
      </c>
      <c r="K149" s="89" t="s">
        <v>868</v>
      </c>
    </row>
    <row r="150" spans="8:11">
      <c r="J150" s="275" t="s">
        <v>957</v>
      </c>
      <c r="K150" s="89" t="s">
        <v>868</v>
      </c>
    </row>
    <row r="151" spans="8:11">
      <c r="J151" s="283" t="s">
        <v>958</v>
      </c>
      <c r="K151" s="89" t="s">
        <v>868</v>
      </c>
    </row>
  </sheetData>
  <phoneticPr fontId="2" type="noConversion"/>
  <conditionalFormatting sqref="B96:D1048576">
    <cfRule type="duplicateValues" dxfId="15" priority="11"/>
  </conditionalFormatting>
  <dataValidations count="1">
    <dataValidation type="list" allowBlank="1" showInputMessage="1" showErrorMessage="1" sqref="N20:N24 J12 J5 J8:J10 J28 J61" xr:uid="{01C23713-4497-4429-9253-F9578FE7E4C6}">
      <formula1>"Connected product, Edge control, Analytics,"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F391-C0CF-4264-A47A-7D7987A6C002}">
  <dimension ref="A1:AG50"/>
  <sheetViews>
    <sheetView zoomScaleNormal="100" workbookViewId="0">
      <pane ySplit="2" topLeftCell="A3" activePane="bottomLeft" state="frozen"/>
      <selection pane="bottomLeft" activeCell="C36" sqref="C36"/>
    </sheetView>
  </sheetViews>
  <sheetFormatPr baseColWidth="10" defaultColWidth="8.5703125" defaultRowHeight="15"/>
  <cols>
    <col min="1" max="1" width="14.85546875" style="9" bestFit="1" customWidth="1"/>
    <col min="2" max="2" width="15.5703125" style="9" bestFit="1" customWidth="1"/>
    <col min="3" max="3" width="33.42578125" style="9" customWidth="1"/>
    <col min="4" max="4" width="31.42578125" style="9" bestFit="1" customWidth="1"/>
    <col min="5" max="5" width="19.42578125" style="9" customWidth="1"/>
    <col min="6" max="6" width="18.42578125" style="79" bestFit="1" customWidth="1"/>
    <col min="7" max="7" width="10" style="9" customWidth="1"/>
    <col min="8" max="8" width="22.42578125" style="79" bestFit="1" customWidth="1"/>
    <col min="9" max="9" width="15" style="9" bestFit="1" customWidth="1"/>
    <col min="10" max="10" width="11.42578125" style="9" bestFit="1" customWidth="1"/>
    <col min="11" max="11" width="27.42578125" style="9" bestFit="1" customWidth="1"/>
    <col min="12" max="12" width="13.42578125" style="9" customWidth="1"/>
    <col min="13" max="13" width="12.42578125" style="9" customWidth="1"/>
    <col min="14" max="14" width="10.140625" style="9" customWidth="1"/>
    <col min="15" max="15" width="14" style="9" customWidth="1"/>
    <col min="16" max="16" width="11.42578125" style="9" customWidth="1"/>
    <col min="17" max="17" width="10.42578125" style="9" customWidth="1"/>
    <col min="18" max="18" width="13.42578125" style="9" customWidth="1"/>
    <col min="19" max="19" width="7.5703125" style="9" bestFit="1" customWidth="1"/>
    <col min="20" max="20" width="5.42578125" style="9" bestFit="1" customWidth="1"/>
    <col min="21" max="21" width="6.140625" style="9" bestFit="1" customWidth="1"/>
    <col min="22" max="23" width="6.42578125" style="9" bestFit="1" customWidth="1"/>
    <col min="24" max="24" width="5.5703125" style="9" bestFit="1" customWidth="1"/>
    <col min="25" max="25" width="5" style="9" bestFit="1" customWidth="1"/>
    <col min="26" max="26" width="5.5703125" style="9" bestFit="1" customWidth="1"/>
    <col min="27" max="27" width="4.85546875" style="9" bestFit="1" customWidth="1"/>
    <col min="28" max="28" width="5" style="9" bestFit="1" customWidth="1"/>
    <col min="29" max="29" width="11.42578125" style="9" bestFit="1" customWidth="1"/>
    <col min="30" max="30" width="17.42578125" style="9" customWidth="1"/>
    <col min="31" max="32" width="6.42578125" style="9" bestFit="1" customWidth="1"/>
    <col min="33" max="33" width="9.42578125" style="9" bestFit="1" customWidth="1"/>
    <col min="34" max="16384" width="8.5703125" style="9"/>
  </cols>
  <sheetData>
    <row r="1" spans="1:33">
      <c r="A1" s="78">
        <f>COUNTIF(Table3210[Seen on BS], "Yes")</f>
        <v>11</v>
      </c>
      <c r="B1" s="78">
        <f>COUNTIF(Table3210[Fingerprints available],"Yes")</f>
        <v>15</v>
      </c>
      <c r="C1" s="78">
        <f>COUNTA(Table3210[Product range])</f>
        <v>48</v>
      </c>
    </row>
    <row r="2" spans="1:33" s="88" customFormat="1" ht="45">
      <c r="A2" s="103" t="s">
        <v>33</v>
      </c>
      <c r="B2" s="104" t="s">
        <v>64</v>
      </c>
      <c r="C2" s="17" t="s">
        <v>304</v>
      </c>
      <c r="D2" s="17" t="s">
        <v>66</v>
      </c>
      <c r="E2" s="17" t="s">
        <v>959</v>
      </c>
      <c r="F2" s="18" t="s">
        <v>29</v>
      </c>
      <c r="G2" s="18" t="s">
        <v>67</v>
      </c>
      <c r="H2" s="17" t="s">
        <v>68</v>
      </c>
      <c r="I2" s="17" t="s">
        <v>305</v>
      </c>
      <c r="J2" s="17" t="s">
        <v>70</v>
      </c>
      <c r="K2" s="18" t="s">
        <v>71</v>
      </c>
      <c r="L2" s="18" t="s">
        <v>72</v>
      </c>
      <c r="M2" s="18" t="s">
        <v>73</v>
      </c>
      <c r="N2" s="18" t="s">
        <v>74</v>
      </c>
      <c r="O2" s="18" t="s">
        <v>960</v>
      </c>
      <c r="P2" s="18" t="s">
        <v>76</v>
      </c>
      <c r="Q2" s="18" t="s">
        <v>77</v>
      </c>
      <c r="R2" s="18" t="s">
        <v>78</v>
      </c>
      <c r="S2" s="18" t="s">
        <v>79</v>
      </c>
      <c r="T2" s="18" t="s">
        <v>80</v>
      </c>
      <c r="U2" s="18" t="s">
        <v>81</v>
      </c>
      <c r="V2" s="18" t="s">
        <v>82</v>
      </c>
      <c r="W2" s="18" t="s">
        <v>83</v>
      </c>
      <c r="X2" s="18" t="s">
        <v>84</v>
      </c>
      <c r="Y2" s="18" t="s">
        <v>85</v>
      </c>
      <c r="Z2" s="18" t="s">
        <v>86</v>
      </c>
      <c r="AA2" s="18" t="s">
        <v>87</v>
      </c>
      <c r="AB2" s="18" t="s">
        <v>88</v>
      </c>
      <c r="AC2" s="18" t="s">
        <v>89</v>
      </c>
      <c r="AD2" s="17" t="s">
        <v>90</v>
      </c>
      <c r="AE2" s="18" t="s">
        <v>91</v>
      </c>
      <c r="AF2" s="18" t="s">
        <v>92</v>
      </c>
      <c r="AG2" s="20" t="s">
        <v>961</v>
      </c>
    </row>
    <row r="3" spans="1:33" s="93" customFormat="1" ht="30">
      <c r="A3" s="30" t="s">
        <v>96</v>
      </c>
      <c r="B3" s="13" t="s">
        <v>96</v>
      </c>
      <c r="C3" s="13" t="s">
        <v>962</v>
      </c>
      <c r="D3" s="12" t="s">
        <v>963</v>
      </c>
      <c r="E3" s="11" t="s">
        <v>13</v>
      </c>
      <c r="F3" s="65" t="s">
        <v>964</v>
      </c>
      <c r="G3" s="11" t="s">
        <v>101</v>
      </c>
      <c r="H3" s="65" t="s">
        <v>318</v>
      </c>
      <c r="I3" s="65" t="s">
        <v>965</v>
      </c>
      <c r="J3" s="65"/>
      <c r="K3" s="11" t="s">
        <v>966</v>
      </c>
      <c r="L3" s="1" t="s">
        <v>105</v>
      </c>
      <c r="M3" s="1"/>
      <c r="N3" s="1"/>
      <c r="O3" s="1"/>
      <c r="P3" s="1"/>
      <c r="Q3" s="1"/>
      <c r="R3" s="1"/>
      <c r="S3" s="1" t="s">
        <v>105</v>
      </c>
      <c r="T3" s="1" t="s">
        <v>105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61"/>
    </row>
    <row r="4" spans="1:33" s="93" customFormat="1">
      <c r="A4" s="30" t="s">
        <v>97</v>
      </c>
      <c r="B4" s="13" t="s">
        <v>96</v>
      </c>
      <c r="C4" s="13" t="s">
        <v>967</v>
      </c>
      <c r="D4" s="55" t="s">
        <v>705</v>
      </c>
      <c r="E4" s="55" t="s">
        <v>705</v>
      </c>
      <c r="F4" s="65"/>
      <c r="G4" s="11" t="s">
        <v>101</v>
      </c>
      <c r="H4" s="65" t="s">
        <v>705</v>
      </c>
      <c r="I4" s="65" t="s">
        <v>965</v>
      </c>
      <c r="J4" s="65"/>
      <c r="K4" s="11" t="s">
        <v>676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61"/>
    </row>
    <row r="5" spans="1:33" s="93" customFormat="1" ht="30">
      <c r="A5" s="29" t="s">
        <v>96</v>
      </c>
      <c r="B5" s="12" t="s">
        <v>96</v>
      </c>
      <c r="C5" s="12" t="s">
        <v>968</v>
      </c>
      <c r="D5" s="12" t="s">
        <v>705</v>
      </c>
      <c r="E5" s="55" t="s">
        <v>13</v>
      </c>
      <c r="F5" s="65" t="s">
        <v>964</v>
      </c>
      <c r="G5" s="12" t="s">
        <v>101</v>
      </c>
      <c r="H5" s="97"/>
      <c r="I5" s="12" t="s">
        <v>107</v>
      </c>
      <c r="J5" s="12"/>
      <c r="K5" s="64" t="s">
        <v>969</v>
      </c>
      <c r="L5" s="1" t="s">
        <v>105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61"/>
    </row>
    <row r="6" spans="1:33" s="93" customFormat="1" ht="30">
      <c r="A6" s="30" t="s">
        <v>97</v>
      </c>
      <c r="B6" s="12" t="s">
        <v>96</v>
      </c>
      <c r="C6" s="12" t="s">
        <v>970</v>
      </c>
      <c r="D6" s="12" t="s">
        <v>971</v>
      </c>
      <c r="E6" s="55" t="s">
        <v>13</v>
      </c>
      <c r="F6" s="65" t="s">
        <v>964</v>
      </c>
      <c r="G6" s="55" t="s">
        <v>101</v>
      </c>
      <c r="H6" s="12" t="s">
        <v>318</v>
      </c>
      <c r="I6" s="12" t="s">
        <v>107</v>
      </c>
      <c r="J6" s="65"/>
      <c r="K6" s="11" t="s">
        <v>104</v>
      </c>
      <c r="L6" s="1"/>
      <c r="M6" s="1"/>
      <c r="N6" s="1"/>
      <c r="O6" s="1"/>
      <c r="P6" s="1"/>
      <c r="Q6" s="1"/>
      <c r="R6" s="1" t="s">
        <v>105</v>
      </c>
      <c r="S6" s="1" t="s">
        <v>105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61"/>
    </row>
    <row r="7" spans="1:33" s="93" customFormat="1" ht="30">
      <c r="A7" s="30" t="s">
        <v>97</v>
      </c>
      <c r="B7" s="13" t="s">
        <v>96</v>
      </c>
      <c r="C7" s="13" t="s">
        <v>972</v>
      </c>
      <c r="D7" s="11" t="s">
        <v>973</v>
      </c>
      <c r="E7" s="11" t="s">
        <v>13</v>
      </c>
      <c r="F7" s="65" t="s">
        <v>964</v>
      </c>
      <c r="G7" s="11" t="s">
        <v>101</v>
      </c>
      <c r="H7" s="65" t="s">
        <v>119</v>
      </c>
      <c r="I7" s="11" t="s">
        <v>107</v>
      </c>
      <c r="J7" s="11"/>
      <c r="K7" s="112" t="s">
        <v>974</v>
      </c>
      <c r="L7" s="113" t="s">
        <v>105</v>
      </c>
      <c r="M7" s="113" t="s">
        <v>975</v>
      </c>
      <c r="N7" s="11" t="s">
        <v>975</v>
      </c>
      <c r="O7" s="11" t="s">
        <v>975</v>
      </c>
      <c r="P7" s="11" t="s">
        <v>975</v>
      </c>
      <c r="Q7" s="1"/>
      <c r="R7" s="1"/>
      <c r="S7" s="1" t="s">
        <v>975</v>
      </c>
      <c r="T7" s="11" t="s">
        <v>975</v>
      </c>
      <c r="U7" s="11"/>
      <c r="V7" s="11"/>
      <c r="W7" s="11"/>
      <c r="X7" s="11"/>
      <c r="Y7" s="11"/>
      <c r="Z7" s="11"/>
      <c r="AA7" s="11"/>
      <c r="AB7" s="11"/>
      <c r="AC7" s="1"/>
      <c r="AD7" s="11"/>
      <c r="AE7" s="1" t="s">
        <v>975</v>
      </c>
      <c r="AF7" s="1"/>
      <c r="AG7" s="61" t="s">
        <v>306</v>
      </c>
    </row>
    <row r="8" spans="1:33" s="93" customFormat="1" ht="30">
      <c r="A8" s="30" t="s">
        <v>97</v>
      </c>
      <c r="B8" s="13" t="s">
        <v>96</v>
      </c>
      <c r="C8" s="13" t="s">
        <v>976</v>
      </c>
      <c r="D8" s="11" t="s">
        <v>973</v>
      </c>
      <c r="E8" s="11" t="s">
        <v>13</v>
      </c>
      <c r="F8" s="65" t="s">
        <v>964</v>
      </c>
      <c r="G8" s="11" t="s">
        <v>101</v>
      </c>
      <c r="H8" s="65" t="s">
        <v>119</v>
      </c>
      <c r="I8" s="11" t="s">
        <v>107</v>
      </c>
      <c r="J8" s="11"/>
      <c r="K8" s="112" t="s">
        <v>974</v>
      </c>
      <c r="L8" s="11" t="s">
        <v>105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61" t="s">
        <v>306</v>
      </c>
    </row>
    <row r="9" spans="1:33" s="93" customFormat="1" ht="30">
      <c r="A9" s="298"/>
      <c r="B9" s="299"/>
      <c r="C9" s="13" t="s">
        <v>977</v>
      </c>
      <c r="D9" s="11" t="s">
        <v>973</v>
      </c>
      <c r="E9" s="11" t="s">
        <v>13</v>
      </c>
      <c r="F9" s="65" t="s">
        <v>964</v>
      </c>
      <c r="G9" s="11" t="s">
        <v>101</v>
      </c>
      <c r="H9" s="65" t="s">
        <v>119</v>
      </c>
      <c r="I9" s="65"/>
      <c r="J9" s="65"/>
      <c r="K9" s="1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61"/>
    </row>
    <row r="10" spans="1:33" s="93" customFormat="1" ht="30">
      <c r="A10" s="30" t="s">
        <v>97</v>
      </c>
      <c r="B10" s="13" t="s">
        <v>97</v>
      </c>
      <c r="C10" s="13" t="s">
        <v>978</v>
      </c>
      <c r="D10" s="11" t="s">
        <v>973</v>
      </c>
      <c r="E10" s="11" t="s">
        <v>13</v>
      </c>
      <c r="F10" s="65" t="s">
        <v>964</v>
      </c>
      <c r="G10" s="11" t="s">
        <v>101</v>
      </c>
      <c r="H10" s="65" t="s">
        <v>119</v>
      </c>
      <c r="I10" s="11" t="s">
        <v>107</v>
      </c>
      <c r="J10" s="11"/>
      <c r="K10" s="112" t="s">
        <v>974</v>
      </c>
      <c r="L10" s="11" t="s">
        <v>105</v>
      </c>
      <c r="M10" s="11" t="s">
        <v>975</v>
      </c>
      <c r="N10" s="11" t="s">
        <v>975</v>
      </c>
      <c r="O10" s="11" t="s">
        <v>975</v>
      </c>
      <c r="P10" s="11" t="s">
        <v>975</v>
      </c>
      <c r="Q10" s="1"/>
      <c r="R10" s="1"/>
      <c r="S10" s="1" t="s">
        <v>975</v>
      </c>
      <c r="T10" s="11" t="s">
        <v>975</v>
      </c>
      <c r="U10" s="11"/>
      <c r="V10" s="11"/>
      <c r="W10" s="11"/>
      <c r="X10" s="11"/>
      <c r="Y10" s="11"/>
      <c r="Z10" s="11"/>
      <c r="AA10" s="11"/>
      <c r="AB10" s="11"/>
      <c r="AC10" s="1"/>
      <c r="AD10" s="1"/>
      <c r="AE10" s="1" t="s">
        <v>975</v>
      </c>
      <c r="AF10" s="1"/>
      <c r="AG10" s="61" t="s">
        <v>306</v>
      </c>
    </row>
    <row r="11" spans="1:33" s="93" customFormat="1" ht="30">
      <c r="A11" s="30" t="s">
        <v>96</v>
      </c>
      <c r="B11" s="13" t="s">
        <v>96</v>
      </c>
      <c r="C11" s="13" t="s">
        <v>979</v>
      </c>
      <c r="D11" s="11" t="s">
        <v>973</v>
      </c>
      <c r="E11" s="11" t="s">
        <v>13</v>
      </c>
      <c r="F11" s="65" t="s">
        <v>964</v>
      </c>
      <c r="G11" s="11" t="s">
        <v>145</v>
      </c>
      <c r="H11" s="65" t="s">
        <v>119</v>
      </c>
      <c r="I11" s="11" t="s">
        <v>107</v>
      </c>
      <c r="J11" s="11"/>
      <c r="K11" s="11" t="s">
        <v>980</v>
      </c>
      <c r="L11" s="11" t="s">
        <v>975</v>
      </c>
      <c r="M11" s="11" t="s">
        <v>975</v>
      </c>
      <c r="N11" s="11" t="s">
        <v>975</v>
      </c>
      <c r="O11" s="11" t="s">
        <v>975</v>
      </c>
      <c r="P11" s="11" t="s">
        <v>975</v>
      </c>
      <c r="Q11" s="1"/>
      <c r="R11" s="1"/>
      <c r="S11" s="1" t="s">
        <v>975</v>
      </c>
      <c r="T11" s="11" t="s">
        <v>975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" t="s">
        <v>975</v>
      </c>
      <c r="AF11" s="1" t="s">
        <v>975</v>
      </c>
      <c r="AG11" s="61"/>
    </row>
    <row r="12" spans="1:33" s="93" customFormat="1" ht="30">
      <c r="A12" s="30" t="s">
        <v>97</v>
      </c>
      <c r="B12" s="65" t="s">
        <v>97</v>
      </c>
      <c r="C12" s="65" t="s">
        <v>981</v>
      </c>
      <c r="D12" s="11" t="s">
        <v>973</v>
      </c>
      <c r="E12" s="11" t="s">
        <v>13</v>
      </c>
      <c r="F12" s="65" t="s">
        <v>964</v>
      </c>
      <c r="G12" s="11" t="s">
        <v>145</v>
      </c>
      <c r="H12" s="65" t="s">
        <v>119</v>
      </c>
      <c r="I12" s="65" t="s">
        <v>107</v>
      </c>
      <c r="J12" s="65"/>
      <c r="K12" s="11" t="s">
        <v>147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61"/>
    </row>
    <row r="13" spans="1:33" s="93" customFormat="1" ht="30">
      <c r="A13" s="30" t="s">
        <v>97</v>
      </c>
      <c r="B13" s="13" t="s">
        <v>96</v>
      </c>
      <c r="C13" s="13" t="s">
        <v>982</v>
      </c>
      <c r="D13" s="12" t="s">
        <v>983</v>
      </c>
      <c r="E13" s="55" t="s">
        <v>13</v>
      </c>
      <c r="F13" s="65" t="s">
        <v>964</v>
      </c>
      <c r="G13" s="12" t="s">
        <v>145</v>
      </c>
      <c r="H13" s="65" t="s">
        <v>119</v>
      </c>
      <c r="I13" s="65" t="s">
        <v>107</v>
      </c>
      <c r="J13" s="65"/>
      <c r="K13" s="11" t="s">
        <v>147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61"/>
    </row>
    <row r="14" spans="1:33" s="93" customFormat="1" ht="30">
      <c r="A14" s="30" t="s">
        <v>97</v>
      </c>
      <c r="B14" s="13" t="s">
        <v>96</v>
      </c>
      <c r="C14" s="13" t="s">
        <v>984</v>
      </c>
      <c r="D14" s="12" t="s">
        <v>985</v>
      </c>
      <c r="E14" s="55" t="s">
        <v>13</v>
      </c>
      <c r="F14" s="65" t="s">
        <v>964</v>
      </c>
      <c r="G14" s="12" t="s">
        <v>101</v>
      </c>
      <c r="H14" s="65" t="s">
        <v>318</v>
      </c>
      <c r="I14" s="65" t="s">
        <v>107</v>
      </c>
      <c r="J14" s="65"/>
      <c r="K14" s="11" t="s">
        <v>72</v>
      </c>
      <c r="L14" s="1" t="s">
        <v>105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61"/>
    </row>
    <row r="15" spans="1:33" s="93" customFormat="1" ht="30">
      <c r="A15" s="30" t="s">
        <v>97</v>
      </c>
      <c r="B15" s="13" t="s">
        <v>97</v>
      </c>
      <c r="C15" s="13" t="s">
        <v>986</v>
      </c>
      <c r="D15" s="12" t="s">
        <v>987</v>
      </c>
      <c r="E15" s="55" t="s">
        <v>13</v>
      </c>
      <c r="F15" s="65" t="s">
        <v>964</v>
      </c>
      <c r="G15" s="12" t="s">
        <v>145</v>
      </c>
      <c r="H15" s="65" t="s">
        <v>119</v>
      </c>
      <c r="I15" s="65" t="s">
        <v>107</v>
      </c>
      <c r="J15" s="65"/>
      <c r="K15" s="11" t="s">
        <v>147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61"/>
    </row>
    <row r="16" spans="1:33" s="93" customFormat="1" ht="30">
      <c r="A16" s="30" t="s">
        <v>97</v>
      </c>
      <c r="B16" s="13" t="s">
        <v>97</v>
      </c>
      <c r="C16" s="13" t="s">
        <v>988</v>
      </c>
      <c r="D16" s="12" t="s">
        <v>987</v>
      </c>
      <c r="E16" s="55" t="s">
        <v>13</v>
      </c>
      <c r="F16" s="65" t="s">
        <v>964</v>
      </c>
      <c r="G16" s="12" t="s">
        <v>145</v>
      </c>
      <c r="H16" s="65" t="s">
        <v>119</v>
      </c>
      <c r="I16" s="65" t="s">
        <v>107</v>
      </c>
      <c r="J16" s="65"/>
      <c r="K16" s="11" t="s">
        <v>147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61"/>
    </row>
    <row r="17" spans="1:33" s="93" customFormat="1" ht="30">
      <c r="A17" s="30" t="s">
        <v>97</v>
      </c>
      <c r="B17" s="13" t="s">
        <v>97</v>
      </c>
      <c r="C17" s="13" t="s">
        <v>989</v>
      </c>
      <c r="D17" s="12" t="s">
        <v>971</v>
      </c>
      <c r="E17" s="55" t="s">
        <v>13</v>
      </c>
      <c r="F17" s="65" t="s">
        <v>964</v>
      </c>
      <c r="G17" s="11" t="s">
        <v>101</v>
      </c>
      <c r="H17" s="65" t="s">
        <v>318</v>
      </c>
      <c r="I17" s="65" t="s">
        <v>965</v>
      </c>
      <c r="J17" s="65"/>
      <c r="K17" s="11" t="s">
        <v>980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61"/>
    </row>
    <row r="18" spans="1:33" s="93" customFormat="1" ht="30">
      <c r="A18" s="30" t="s">
        <v>97</v>
      </c>
      <c r="B18" s="13" t="s">
        <v>97</v>
      </c>
      <c r="C18" s="13" t="s">
        <v>990</v>
      </c>
      <c r="D18" s="12" t="s">
        <v>971</v>
      </c>
      <c r="E18" s="55" t="s">
        <v>13</v>
      </c>
      <c r="F18" s="65" t="s">
        <v>964</v>
      </c>
      <c r="G18" s="11" t="s">
        <v>101</v>
      </c>
      <c r="H18" s="65" t="s">
        <v>318</v>
      </c>
      <c r="I18" s="65" t="s">
        <v>965</v>
      </c>
      <c r="J18" s="65"/>
      <c r="K18" s="11" t="s">
        <v>103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61"/>
    </row>
    <row r="19" spans="1:33" s="93" customFormat="1" ht="30">
      <c r="A19" s="30" t="s">
        <v>97</v>
      </c>
      <c r="B19" s="13" t="s">
        <v>97</v>
      </c>
      <c r="C19" s="13" t="s">
        <v>991</v>
      </c>
      <c r="D19" s="12" t="s">
        <v>971</v>
      </c>
      <c r="E19" s="55" t="s">
        <v>13</v>
      </c>
      <c r="F19" s="65" t="s">
        <v>964</v>
      </c>
      <c r="G19" s="11" t="s">
        <v>101</v>
      </c>
      <c r="H19" s="65" t="s">
        <v>318</v>
      </c>
      <c r="I19" s="65" t="s">
        <v>965</v>
      </c>
      <c r="J19" s="65"/>
      <c r="K19" s="11" t="s">
        <v>992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61"/>
    </row>
    <row r="20" spans="1:33" s="93" customFormat="1" ht="30">
      <c r="A20" s="30" t="s">
        <v>97</v>
      </c>
      <c r="B20" s="13" t="s">
        <v>97</v>
      </c>
      <c r="C20" s="13" t="s">
        <v>993</v>
      </c>
      <c r="D20" s="12" t="s">
        <v>971</v>
      </c>
      <c r="E20" s="55" t="s">
        <v>13</v>
      </c>
      <c r="F20" s="65" t="s">
        <v>964</v>
      </c>
      <c r="G20" s="11" t="s">
        <v>101</v>
      </c>
      <c r="H20" s="65" t="s">
        <v>318</v>
      </c>
      <c r="I20" s="65" t="s">
        <v>965</v>
      </c>
      <c r="J20" s="65"/>
      <c r="K20" s="11" t="s">
        <v>994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61"/>
    </row>
    <row r="21" spans="1:33" s="93" customFormat="1" ht="30">
      <c r="A21" s="30" t="s">
        <v>97</v>
      </c>
      <c r="B21" s="13" t="s">
        <v>97</v>
      </c>
      <c r="C21" s="13" t="s">
        <v>995</v>
      </c>
      <c r="D21" s="12" t="s">
        <v>973</v>
      </c>
      <c r="E21" s="55" t="s">
        <v>13</v>
      </c>
      <c r="F21" s="65" t="s">
        <v>964</v>
      </c>
      <c r="G21" s="12" t="s">
        <v>101</v>
      </c>
      <c r="H21" s="65" t="s">
        <v>318</v>
      </c>
      <c r="I21" s="65" t="s">
        <v>107</v>
      </c>
      <c r="J21" s="65"/>
      <c r="K21" s="11" t="s">
        <v>996</v>
      </c>
      <c r="L21" s="1" t="s">
        <v>105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 t="s">
        <v>105</v>
      </c>
      <c r="AG21" s="61"/>
    </row>
    <row r="22" spans="1:33" s="93" customFormat="1" ht="30">
      <c r="A22" s="30" t="s">
        <v>97</v>
      </c>
      <c r="B22" s="13" t="s">
        <v>97</v>
      </c>
      <c r="C22" s="13" t="s">
        <v>997</v>
      </c>
      <c r="D22" s="12" t="s">
        <v>973</v>
      </c>
      <c r="E22" s="55" t="s">
        <v>13</v>
      </c>
      <c r="F22" s="65" t="s">
        <v>964</v>
      </c>
      <c r="G22" s="12" t="s">
        <v>101</v>
      </c>
      <c r="H22" s="65" t="s">
        <v>318</v>
      </c>
      <c r="I22" s="65" t="s">
        <v>107</v>
      </c>
      <c r="J22" s="65"/>
      <c r="K22" s="11" t="s">
        <v>998</v>
      </c>
      <c r="L22" s="1" t="s">
        <v>105</v>
      </c>
      <c r="M22" s="1"/>
      <c r="N22" s="1"/>
      <c r="O22" s="1"/>
      <c r="P22" s="1"/>
      <c r="Q22" s="1"/>
      <c r="R22" s="1" t="s">
        <v>105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 t="s">
        <v>105</v>
      </c>
      <c r="AG22" s="61"/>
    </row>
    <row r="23" spans="1:33" s="93" customFormat="1" ht="30">
      <c r="A23" s="30" t="s">
        <v>97</v>
      </c>
      <c r="B23" s="12" t="s">
        <v>96</v>
      </c>
      <c r="C23" s="12" t="s">
        <v>999</v>
      </c>
      <c r="D23" s="13" t="s">
        <v>1000</v>
      </c>
      <c r="E23" s="55" t="s">
        <v>13</v>
      </c>
      <c r="F23" s="65" t="s">
        <v>964</v>
      </c>
      <c r="G23" s="11" t="s">
        <v>101</v>
      </c>
      <c r="H23" s="65" t="s">
        <v>318</v>
      </c>
      <c r="I23" s="65" t="s">
        <v>107</v>
      </c>
      <c r="J23" s="65"/>
      <c r="K23" s="11" t="s">
        <v>147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61"/>
    </row>
    <row r="24" spans="1:33" s="93" customFormat="1" ht="30">
      <c r="A24" s="30" t="s">
        <v>97</v>
      </c>
      <c r="B24" s="11" t="s">
        <v>97</v>
      </c>
      <c r="C24" s="11" t="s">
        <v>1001</v>
      </c>
      <c r="D24" s="11" t="s">
        <v>973</v>
      </c>
      <c r="E24" s="11" t="s">
        <v>13</v>
      </c>
      <c r="F24" s="65" t="s">
        <v>964</v>
      </c>
      <c r="G24" s="11" t="s">
        <v>101</v>
      </c>
      <c r="H24" s="65" t="s">
        <v>119</v>
      </c>
      <c r="I24" s="11" t="s">
        <v>107</v>
      </c>
      <c r="J24" s="11"/>
      <c r="K24" s="11" t="s">
        <v>1002</v>
      </c>
      <c r="L24" s="11" t="s">
        <v>975</v>
      </c>
      <c r="M24" s="11" t="s">
        <v>975</v>
      </c>
      <c r="N24" s="11" t="s">
        <v>975</v>
      </c>
      <c r="O24" s="11" t="s">
        <v>975</v>
      </c>
      <c r="P24" s="11" t="s">
        <v>975</v>
      </c>
      <c r="Q24" s="1"/>
      <c r="R24" s="1"/>
      <c r="S24" s="1" t="s">
        <v>975</v>
      </c>
      <c r="T24" s="11" t="s">
        <v>975</v>
      </c>
      <c r="U24" s="11"/>
      <c r="V24" s="11"/>
      <c r="W24" s="11"/>
      <c r="X24" s="11"/>
      <c r="Y24" s="11"/>
      <c r="Z24" s="1"/>
      <c r="AA24" s="11"/>
      <c r="AB24" s="11" t="s">
        <v>105</v>
      </c>
      <c r="AC24" s="11"/>
      <c r="AD24" s="11"/>
      <c r="AE24" s="1" t="s">
        <v>975</v>
      </c>
      <c r="AF24" s="1" t="s">
        <v>975</v>
      </c>
      <c r="AG24" s="61"/>
    </row>
    <row r="25" spans="1:33" s="93" customFormat="1" ht="30">
      <c r="A25" s="30" t="s">
        <v>97</v>
      </c>
      <c r="B25" s="13" t="s">
        <v>97</v>
      </c>
      <c r="C25" s="13" t="s">
        <v>1003</v>
      </c>
      <c r="D25" s="13" t="s">
        <v>1000</v>
      </c>
      <c r="E25" s="55" t="s">
        <v>13</v>
      </c>
      <c r="F25" s="65" t="s">
        <v>964</v>
      </c>
      <c r="G25" s="11" t="s">
        <v>101</v>
      </c>
      <c r="H25" s="65" t="s">
        <v>318</v>
      </c>
      <c r="I25" s="65" t="s">
        <v>107</v>
      </c>
      <c r="J25" s="65"/>
      <c r="K25" s="11" t="s">
        <v>1004</v>
      </c>
      <c r="L25" s="1" t="s">
        <v>105</v>
      </c>
      <c r="M25" s="1" t="s">
        <v>105</v>
      </c>
      <c r="N25" s="1"/>
      <c r="O25" s="1"/>
      <c r="P25" s="1" t="s">
        <v>105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61"/>
    </row>
    <row r="26" spans="1:33" s="93" customFormat="1" ht="45">
      <c r="A26" s="30" t="s">
        <v>97</v>
      </c>
      <c r="B26" s="13" t="s">
        <v>97</v>
      </c>
      <c r="C26" s="13" t="s">
        <v>1005</v>
      </c>
      <c r="D26" s="13" t="s">
        <v>1000</v>
      </c>
      <c r="E26" s="55" t="s">
        <v>13</v>
      </c>
      <c r="F26" s="65" t="s">
        <v>964</v>
      </c>
      <c r="G26" s="55" t="s">
        <v>101</v>
      </c>
      <c r="H26" s="65" t="s">
        <v>318</v>
      </c>
      <c r="I26" s="65" t="s">
        <v>107</v>
      </c>
      <c r="J26" s="65"/>
      <c r="K26" s="55" t="s">
        <v>1006</v>
      </c>
      <c r="L26" s="1" t="s">
        <v>105</v>
      </c>
      <c r="M26" s="1"/>
      <c r="N26" s="1"/>
      <c r="O26" s="1"/>
      <c r="P26" s="1" t="s">
        <v>105</v>
      </c>
      <c r="Q26" s="1"/>
      <c r="R26" s="1" t="s">
        <v>105</v>
      </c>
      <c r="S26" s="1" t="s">
        <v>105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61"/>
    </row>
    <row r="27" spans="1:33" s="93" customFormat="1" ht="30">
      <c r="A27" s="30" t="s">
        <v>97</v>
      </c>
      <c r="B27" s="12" t="s">
        <v>97</v>
      </c>
      <c r="C27" s="12" t="s">
        <v>1007</v>
      </c>
      <c r="D27" s="11" t="s">
        <v>973</v>
      </c>
      <c r="E27" s="11" t="s">
        <v>13</v>
      </c>
      <c r="F27" s="65" t="s">
        <v>964</v>
      </c>
      <c r="G27" s="11" t="s">
        <v>101</v>
      </c>
      <c r="H27" s="65" t="s">
        <v>119</v>
      </c>
      <c r="I27" s="11" t="s">
        <v>107</v>
      </c>
      <c r="J27" s="11"/>
      <c r="K27" s="11" t="s">
        <v>72</v>
      </c>
      <c r="L27" s="11" t="s">
        <v>105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64"/>
      <c r="X27" s="64"/>
      <c r="Y27" s="64"/>
      <c r="Z27" s="64"/>
      <c r="AA27" s="64"/>
      <c r="AB27" s="64"/>
      <c r="AC27" s="1"/>
      <c r="AD27" s="64"/>
      <c r="AE27" s="64"/>
      <c r="AF27" s="1"/>
      <c r="AG27" s="114"/>
    </row>
    <row r="28" spans="1:33" s="93" customFormat="1" ht="30">
      <c r="A28" s="30" t="s">
        <v>97</v>
      </c>
      <c r="B28" s="13" t="s">
        <v>96</v>
      </c>
      <c r="C28" s="13" t="s">
        <v>1008</v>
      </c>
      <c r="D28" s="11" t="s">
        <v>973</v>
      </c>
      <c r="E28" s="11" t="s">
        <v>13</v>
      </c>
      <c r="F28" s="65" t="s">
        <v>964</v>
      </c>
      <c r="G28" s="11" t="s">
        <v>101</v>
      </c>
      <c r="H28" s="65" t="s">
        <v>119</v>
      </c>
      <c r="I28" s="11" t="s">
        <v>107</v>
      </c>
      <c r="J28" s="11"/>
      <c r="K28" s="11" t="s">
        <v>1009</v>
      </c>
      <c r="L28" s="1" t="s">
        <v>105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61"/>
    </row>
    <row r="29" spans="1:33" s="93" customFormat="1" ht="30">
      <c r="A29" s="30" t="s">
        <v>96</v>
      </c>
      <c r="B29" s="13" t="s">
        <v>96</v>
      </c>
      <c r="C29" s="13" t="s">
        <v>1010</v>
      </c>
      <c r="D29" s="11" t="s">
        <v>973</v>
      </c>
      <c r="E29" s="11" t="s">
        <v>13</v>
      </c>
      <c r="F29" s="65" t="s">
        <v>964</v>
      </c>
      <c r="G29" s="11" t="s">
        <v>101</v>
      </c>
      <c r="H29" s="65" t="s">
        <v>119</v>
      </c>
      <c r="I29" s="11" t="s">
        <v>107</v>
      </c>
      <c r="J29" s="11"/>
      <c r="K29" s="11" t="s">
        <v>1011</v>
      </c>
      <c r="L29" s="11" t="s">
        <v>105</v>
      </c>
      <c r="M29" s="11" t="s">
        <v>105</v>
      </c>
      <c r="N29" s="11" t="s">
        <v>975</v>
      </c>
      <c r="O29" s="11" t="s">
        <v>105</v>
      </c>
      <c r="P29" s="11" t="s">
        <v>975</v>
      </c>
      <c r="Q29" s="1"/>
      <c r="R29" s="1"/>
      <c r="S29" s="1" t="s">
        <v>105</v>
      </c>
      <c r="T29" s="11" t="s">
        <v>105</v>
      </c>
      <c r="U29" s="11"/>
      <c r="V29" s="11"/>
      <c r="W29" s="1"/>
      <c r="X29" s="11"/>
      <c r="Y29" s="11"/>
      <c r="Z29" s="11" t="s">
        <v>105</v>
      </c>
      <c r="AA29" s="11"/>
      <c r="AB29" s="11"/>
      <c r="AC29" s="1"/>
      <c r="AD29" s="11"/>
      <c r="AE29" s="1"/>
      <c r="AF29" s="1"/>
      <c r="AG29" s="61" t="s">
        <v>306</v>
      </c>
    </row>
    <row r="30" spans="1:33" s="93" customFormat="1" ht="30">
      <c r="A30" s="30" t="s">
        <v>96</v>
      </c>
      <c r="B30" s="13" t="s">
        <v>96</v>
      </c>
      <c r="C30" s="13" t="s">
        <v>1012</v>
      </c>
      <c r="D30" s="11" t="s">
        <v>973</v>
      </c>
      <c r="E30" s="11" t="s">
        <v>13</v>
      </c>
      <c r="F30" s="65" t="s">
        <v>964</v>
      </c>
      <c r="G30" s="11" t="s">
        <v>101</v>
      </c>
      <c r="H30" s="65" t="s">
        <v>119</v>
      </c>
      <c r="I30" s="11" t="s">
        <v>107</v>
      </c>
      <c r="J30" s="11"/>
      <c r="K30" s="11" t="s">
        <v>1013</v>
      </c>
      <c r="L30" s="11" t="s">
        <v>105</v>
      </c>
      <c r="M30" s="11" t="s">
        <v>105</v>
      </c>
      <c r="N30" s="11" t="s">
        <v>975</v>
      </c>
      <c r="O30" s="11" t="s">
        <v>105</v>
      </c>
      <c r="P30" s="11" t="s">
        <v>975</v>
      </c>
      <c r="Q30" s="1"/>
      <c r="R30" s="1"/>
      <c r="S30" s="1" t="s">
        <v>105</v>
      </c>
      <c r="T30" s="1" t="s">
        <v>105</v>
      </c>
      <c r="U30" s="1"/>
      <c r="V30" s="1"/>
      <c r="W30" s="1"/>
      <c r="X30" s="11"/>
      <c r="Y30" s="11"/>
      <c r="Z30" s="1" t="s">
        <v>105</v>
      </c>
      <c r="AA30" s="11"/>
      <c r="AB30" s="11"/>
      <c r="AC30" s="1"/>
      <c r="AD30" s="11"/>
      <c r="AE30" s="1"/>
      <c r="AF30" s="1"/>
      <c r="AG30" s="61" t="s">
        <v>306</v>
      </c>
    </row>
    <row r="31" spans="1:33" s="93" customFormat="1" ht="30">
      <c r="A31" s="30" t="s">
        <v>97</v>
      </c>
      <c r="B31" s="13" t="s">
        <v>97</v>
      </c>
      <c r="C31" s="13" t="s">
        <v>1014</v>
      </c>
      <c r="D31" s="11" t="s">
        <v>973</v>
      </c>
      <c r="E31" s="11" t="s">
        <v>13</v>
      </c>
      <c r="F31" s="65" t="s">
        <v>964</v>
      </c>
      <c r="G31" s="11" t="s">
        <v>101</v>
      </c>
      <c r="H31" s="65" t="s">
        <v>119</v>
      </c>
      <c r="I31" s="11" t="s">
        <v>107</v>
      </c>
      <c r="J31" s="11"/>
      <c r="K31" s="11" t="s">
        <v>1015</v>
      </c>
      <c r="L31" s="1" t="s">
        <v>105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61"/>
    </row>
    <row r="32" spans="1:33" s="93" customFormat="1" ht="30">
      <c r="A32" s="30" t="s">
        <v>97</v>
      </c>
      <c r="B32" s="13" t="s">
        <v>97</v>
      </c>
      <c r="C32" s="13" t="s">
        <v>1016</v>
      </c>
      <c r="D32" s="11" t="s">
        <v>973</v>
      </c>
      <c r="E32" s="11" t="s">
        <v>13</v>
      </c>
      <c r="F32" s="65" t="s">
        <v>964</v>
      </c>
      <c r="G32" s="11" t="s">
        <v>101</v>
      </c>
      <c r="H32" s="65" t="s">
        <v>119</v>
      </c>
      <c r="I32" s="11" t="s">
        <v>107</v>
      </c>
      <c r="J32" s="11"/>
      <c r="K32" s="11" t="s">
        <v>1015</v>
      </c>
      <c r="L32" s="11" t="s">
        <v>105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61"/>
    </row>
    <row r="33" spans="1:33" s="93" customFormat="1" ht="30">
      <c r="A33" s="30" t="s">
        <v>96</v>
      </c>
      <c r="B33" s="13" t="s">
        <v>97</v>
      </c>
      <c r="C33" s="13" t="s">
        <v>1017</v>
      </c>
      <c r="D33" s="11" t="s">
        <v>973</v>
      </c>
      <c r="E33" s="11" t="s">
        <v>13</v>
      </c>
      <c r="F33" s="65" t="s">
        <v>964</v>
      </c>
      <c r="G33" s="11" t="s">
        <v>101</v>
      </c>
      <c r="H33" s="65" t="s">
        <v>119</v>
      </c>
      <c r="I33" s="11" t="s">
        <v>107</v>
      </c>
      <c r="J33" s="11"/>
      <c r="K33" s="11" t="s">
        <v>1018</v>
      </c>
      <c r="L33" s="11" t="s">
        <v>105</v>
      </c>
      <c r="M33" s="11" t="s">
        <v>975</v>
      </c>
      <c r="N33" s="11" t="s">
        <v>975</v>
      </c>
      <c r="O33" s="11" t="s">
        <v>975</v>
      </c>
      <c r="P33" s="11" t="s">
        <v>975</v>
      </c>
      <c r="Q33" s="1"/>
      <c r="R33" s="1"/>
      <c r="S33" s="1" t="s">
        <v>975</v>
      </c>
      <c r="T33" s="11" t="s">
        <v>975</v>
      </c>
      <c r="U33" s="11"/>
      <c r="V33" s="11"/>
      <c r="W33" s="11"/>
      <c r="X33" s="11"/>
      <c r="Y33" s="11"/>
      <c r="Z33" s="11"/>
      <c r="AA33" s="11"/>
      <c r="AB33" s="11"/>
      <c r="AC33" s="1"/>
      <c r="AD33" s="11"/>
      <c r="AE33" s="1" t="s">
        <v>975</v>
      </c>
      <c r="AF33" s="1"/>
      <c r="AG33" s="61" t="s">
        <v>306</v>
      </c>
    </row>
    <row r="34" spans="1:33" s="93" customFormat="1" ht="30">
      <c r="A34" s="30" t="s">
        <v>96</v>
      </c>
      <c r="B34" s="13" t="s">
        <v>97</v>
      </c>
      <c r="C34" s="13" t="s">
        <v>1019</v>
      </c>
      <c r="D34" s="11" t="s">
        <v>973</v>
      </c>
      <c r="E34" s="11" t="s">
        <v>13</v>
      </c>
      <c r="F34" s="65" t="s">
        <v>964</v>
      </c>
      <c r="G34" s="11" t="s">
        <v>101</v>
      </c>
      <c r="H34" s="65" t="s">
        <v>119</v>
      </c>
      <c r="I34" s="11" t="s">
        <v>107</v>
      </c>
      <c r="J34" s="11"/>
      <c r="K34" s="11" t="s">
        <v>1020</v>
      </c>
      <c r="L34" s="1" t="s">
        <v>105</v>
      </c>
      <c r="M34" s="1"/>
      <c r="N34" s="1"/>
      <c r="O34" s="1"/>
      <c r="P34" s="1" t="s">
        <v>105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61" t="s">
        <v>306</v>
      </c>
    </row>
    <row r="35" spans="1:33" s="93" customFormat="1" ht="30">
      <c r="A35" s="30" t="s">
        <v>97</v>
      </c>
      <c r="B35" s="13" t="s">
        <v>97</v>
      </c>
      <c r="C35" s="13" t="s">
        <v>1021</v>
      </c>
      <c r="D35" s="11" t="s">
        <v>973</v>
      </c>
      <c r="E35" s="11" t="s">
        <v>13</v>
      </c>
      <c r="F35" s="65" t="s">
        <v>964</v>
      </c>
      <c r="G35" s="11" t="s">
        <v>101</v>
      </c>
      <c r="H35" s="65" t="s">
        <v>119</v>
      </c>
      <c r="I35" s="11" t="s">
        <v>107</v>
      </c>
      <c r="J35" s="11"/>
      <c r="K35" s="11" t="s">
        <v>1022</v>
      </c>
      <c r="L35" s="1" t="s">
        <v>105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61"/>
    </row>
    <row r="36" spans="1:33" s="93" customFormat="1" ht="30">
      <c r="A36" s="298"/>
      <c r="B36" s="299"/>
      <c r="C36" s="13" t="s">
        <v>1023</v>
      </c>
      <c r="D36" s="11" t="s">
        <v>973</v>
      </c>
      <c r="E36" s="11" t="s">
        <v>13</v>
      </c>
      <c r="F36" s="65" t="s">
        <v>964</v>
      </c>
      <c r="G36" s="11" t="s">
        <v>101</v>
      </c>
      <c r="H36" s="65" t="s">
        <v>119</v>
      </c>
      <c r="I36" s="11" t="s">
        <v>107</v>
      </c>
      <c r="J36" s="65"/>
      <c r="K36" s="1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61"/>
    </row>
    <row r="37" spans="1:33" s="93" customFormat="1" ht="45">
      <c r="A37" s="30" t="s">
        <v>96</v>
      </c>
      <c r="B37" s="13" t="s">
        <v>97</v>
      </c>
      <c r="C37" s="13" t="s">
        <v>1024</v>
      </c>
      <c r="D37" s="11" t="s">
        <v>973</v>
      </c>
      <c r="E37" s="11" t="s">
        <v>13</v>
      </c>
      <c r="F37" s="65" t="s">
        <v>964</v>
      </c>
      <c r="G37" s="11" t="s">
        <v>101</v>
      </c>
      <c r="H37" s="65" t="s">
        <v>119</v>
      </c>
      <c r="I37" s="11" t="s">
        <v>107</v>
      </c>
      <c r="J37" s="11"/>
      <c r="K37" s="11" t="s">
        <v>1025</v>
      </c>
      <c r="L37" s="11" t="s">
        <v>105</v>
      </c>
      <c r="M37" s="11" t="s">
        <v>975</v>
      </c>
      <c r="N37" s="11" t="s">
        <v>975</v>
      </c>
      <c r="O37" s="11" t="s">
        <v>975</v>
      </c>
      <c r="P37" s="11" t="s">
        <v>975</v>
      </c>
      <c r="Q37" s="1"/>
      <c r="R37" s="1"/>
      <c r="S37" s="1" t="s">
        <v>975</v>
      </c>
      <c r="T37" s="11" t="s">
        <v>975</v>
      </c>
      <c r="U37" s="11"/>
      <c r="V37" s="11"/>
      <c r="W37" s="11"/>
      <c r="X37" s="11"/>
      <c r="Y37" s="11"/>
      <c r="Z37" s="11"/>
      <c r="AA37" s="11"/>
      <c r="AB37" s="11"/>
      <c r="AC37" s="1"/>
      <c r="AD37" s="1"/>
      <c r="AE37" s="1" t="s">
        <v>975</v>
      </c>
      <c r="AF37" s="1"/>
      <c r="AG37" s="61" t="s">
        <v>306</v>
      </c>
    </row>
    <row r="38" spans="1:33" s="93" customFormat="1" ht="30">
      <c r="A38" s="30" t="s">
        <v>97</v>
      </c>
      <c r="B38" s="13" t="s">
        <v>97</v>
      </c>
      <c r="C38" s="13" t="s">
        <v>1026</v>
      </c>
      <c r="D38" s="11" t="s">
        <v>973</v>
      </c>
      <c r="E38" s="11" t="s">
        <v>13</v>
      </c>
      <c r="F38" s="65" t="s">
        <v>964</v>
      </c>
      <c r="G38" s="11" t="s">
        <v>101</v>
      </c>
      <c r="H38" s="65" t="s">
        <v>119</v>
      </c>
      <c r="I38" s="11" t="s">
        <v>107</v>
      </c>
      <c r="J38" s="11"/>
      <c r="K38" s="11" t="s">
        <v>1027</v>
      </c>
      <c r="L38" s="11" t="s">
        <v>105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61" t="s">
        <v>306</v>
      </c>
    </row>
    <row r="39" spans="1:33" s="93" customFormat="1" ht="30">
      <c r="A39" s="298"/>
      <c r="B39" s="299"/>
      <c r="C39" s="13" t="s">
        <v>1028</v>
      </c>
      <c r="D39" s="11" t="s">
        <v>973</v>
      </c>
      <c r="E39" s="11" t="s">
        <v>13</v>
      </c>
      <c r="F39" s="65" t="s">
        <v>964</v>
      </c>
      <c r="G39" s="11" t="s">
        <v>101</v>
      </c>
      <c r="H39" s="65" t="s">
        <v>119</v>
      </c>
      <c r="I39" s="11" t="s">
        <v>107</v>
      </c>
      <c r="J39" s="65"/>
      <c r="K39" s="1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61"/>
    </row>
    <row r="40" spans="1:33" s="93" customFormat="1" ht="30">
      <c r="A40" s="298"/>
      <c r="B40" s="299"/>
      <c r="C40" s="13" t="s">
        <v>1029</v>
      </c>
      <c r="D40" s="11" t="s">
        <v>973</v>
      </c>
      <c r="E40" s="11" t="s">
        <v>13</v>
      </c>
      <c r="F40" s="65" t="s">
        <v>964</v>
      </c>
      <c r="G40" s="11" t="s">
        <v>101</v>
      </c>
      <c r="H40" s="65" t="s">
        <v>119</v>
      </c>
      <c r="I40" s="11" t="s">
        <v>107</v>
      </c>
      <c r="J40" s="65"/>
      <c r="K40" s="1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61"/>
    </row>
    <row r="41" spans="1:33" s="93" customFormat="1" ht="45">
      <c r="A41" s="30" t="s">
        <v>97</v>
      </c>
      <c r="B41" s="12" t="s">
        <v>96</v>
      </c>
      <c r="C41" s="12" t="s">
        <v>1030</v>
      </c>
      <c r="D41" s="13" t="s">
        <v>1031</v>
      </c>
      <c r="E41" s="55" t="s">
        <v>13</v>
      </c>
      <c r="F41" s="65" t="s">
        <v>964</v>
      </c>
      <c r="G41" s="55" t="s">
        <v>101</v>
      </c>
      <c r="H41" s="65" t="s">
        <v>318</v>
      </c>
      <c r="I41" s="65" t="s">
        <v>107</v>
      </c>
      <c r="J41" s="65"/>
      <c r="K41" s="55" t="s">
        <v>1032</v>
      </c>
      <c r="L41" s="1" t="s">
        <v>105</v>
      </c>
      <c r="M41" s="1"/>
      <c r="N41" s="1"/>
      <c r="O41" s="1"/>
      <c r="P41" s="1" t="s">
        <v>105</v>
      </c>
      <c r="Q41" s="1"/>
      <c r="R41" s="1" t="s">
        <v>105</v>
      </c>
      <c r="S41" s="1" t="s">
        <v>105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61"/>
    </row>
    <row r="42" spans="1:33" s="93" customFormat="1" ht="30">
      <c r="A42" s="30" t="s">
        <v>97</v>
      </c>
      <c r="B42" s="65" t="s">
        <v>97</v>
      </c>
      <c r="C42" s="65" t="s">
        <v>1033</v>
      </c>
      <c r="D42" s="12" t="s">
        <v>971</v>
      </c>
      <c r="E42" s="55" t="s">
        <v>13</v>
      </c>
      <c r="F42" s="65" t="s">
        <v>964</v>
      </c>
      <c r="G42" s="11" t="s">
        <v>101</v>
      </c>
      <c r="H42" s="65" t="s">
        <v>318</v>
      </c>
      <c r="I42" s="65" t="s">
        <v>965</v>
      </c>
      <c r="J42" s="65" t="s">
        <v>1034</v>
      </c>
      <c r="K42" s="11" t="s">
        <v>1035</v>
      </c>
      <c r="L42" s="1" t="s">
        <v>122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61"/>
    </row>
    <row r="43" spans="1:33" s="93" customFormat="1" ht="30">
      <c r="A43" s="30" t="s">
        <v>97</v>
      </c>
      <c r="B43" s="65" t="s">
        <v>97</v>
      </c>
      <c r="C43" s="65" t="s">
        <v>1036</v>
      </c>
      <c r="D43" s="12" t="s">
        <v>971</v>
      </c>
      <c r="E43" s="55" t="s">
        <v>13</v>
      </c>
      <c r="F43" s="65" t="s">
        <v>964</v>
      </c>
      <c r="G43" s="11" t="s">
        <v>145</v>
      </c>
      <c r="H43" s="65" t="s">
        <v>318</v>
      </c>
      <c r="I43" s="65" t="s">
        <v>965</v>
      </c>
      <c r="J43" s="65"/>
      <c r="K43" s="11" t="s">
        <v>103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61"/>
    </row>
    <row r="44" spans="1:33" s="93" customFormat="1" ht="30">
      <c r="A44" s="30" t="s">
        <v>96</v>
      </c>
      <c r="B44" s="13" t="s">
        <v>97</v>
      </c>
      <c r="C44" s="13" t="s">
        <v>1037</v>
      </c>
      <c r="D44" s="12" t="s">
        <v>971</v>
      </c>
      <c r="E44" s="55" t="s">
        <v>13</v>
      </c>
      <c r="F44" s="65" t="s">
        <v>964</v>
      </c>
      <c r="G44" s="11" t="s">
        <v>101</v>
      </c>
      <c r="H44" s="65" t="s">
        <v>318</v>
      </c>
      <c r="I44" s="65" t="s">
        <v>965</v>
      </c>
      <c r="J44" s="65"/>
      <c r="K44" s="11" t="s">
        <v>1038</v>
      </c>
      <c r="L44" s="1" t="s">
        <v>105</v>
      </c>
      <c r="M44" s="1"/>
      <c r="N44" s="1"/>
      <c r="O44" s="1"/>
      <c r="P44" s="1"/>
      <c r="Q44" s="1"/>
      <c r="R44" s="1"/>
      <c r="S44" s="1" t="s">
        <v>105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61"/>
    </row>
    <row r="45" spans="1:33" s="93" customFormat="1" ht="30">
      <c r="A45" s="30" t="s">
        <v>97</v>
      </c>
      <c r="B45" s="13" t="s">
        <v>97</v>
      </c>
      <c r="C45" s="13" t="s">
        <v>1039</v>
      </c>
      <c r="D45" s="12" t="s">
        <v>971</v>
      </c>
      <c r="E45" s="55" t="s">
        <v>13</v>
      </c>
      <c r="F45" s="65" t="s">
        <v>964</v>
      </c>
      <c r="G45" s="11" t="s">
        <v>101</v>
      </c>
      <c r="H45" s="65" t="s">
        <v>318</v>
      </c>
      <c r="I45" s="65" t="s">
        <v>965</v>
      </c>
      <c r="J45" s="65"/>
      <c r="K45" s="11" t="s">
        <v>103</v>
      </c>
      <c r="L45" s="1"/>
      <c r="M45" s="1"/>
      <c r="N45" s="1"/>
      <c r="O45" s="1"/>
      <c r="P45" s="1"/>
      <c r="Q45" s="1"/>
      <c r="R45" s="1"/>
      <c r="S45" s="1" t="s">
        <v>105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61"/>
    </row>
    <row r="46" spans="1:33" ht="30">
      <c r="A46" s="30" t="s">
        <v>97</v>
      </c>
      <c r="B46" s="13" t="s">
        <v>97</v>
      </c>
      <c r="C46" s="13" t="s">
        <v>1040</v>
      </c>
      <c r="D46" s="12" t="s">
        <v>971</v>
      </c>
      <c r="E46" s="55" t="s">
        <v>13</v>
      </c>
      <c r="F46" s="65" t="s">
        <v>964</v>
      </c>
      <c r="G46" s="11" t="s">
        <v>101</v>
      </c>
      <c r="H46" s="65" t="s">
        <v>318</v>
      </c>
      <c r="I46" s="65" t="s">
        <v>965</v>
      </c>
      <c r="J46" s="1"/>
      <c r="K46" s="11" t="s">
        <v>1041</v>
      </c>
      <c r="L46" s="1" t="s">
        <v>122</v>
      </c>
      <c r="M46" s="1"/>
      <c r="N46" s="1"/>
      <c r="O46" s="1"/>
      <c r="P46" s="1"/>
      <c r="Q46" s="1"/>
      <c r="R46" s="1"/>
      <c r="S46" s="1" t="s">
        <v>105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61"/>
    </row>
    <row r="47" spans="1:33" ht="30">
      <c r="A47" s="30" t="s">
        <v>97</v>
      </c>
      <c r="B47" s="65" t="s">
        <v>97</v>
      </c>
      <c r="C47" s="65" t="s">
        <v>1042</v>
      </c>
      <c r="D47" s="12" t="s">
        <v>971</v>
      </c>
      <c r="E47" s="55" t="s">
        <v>13</v>
      </c>
      <c r="F47" s="65" t="s">
        <v>964</v>
      </c>
      <c r="G47" s="11" t="s">
        <v>101</v>
      </c>
      <c r="H47" s="65" t="s">
        <v>318</v>
      </c>
      <c r="I47" s="65" t="s">
        <v>965</v>
      </c>
      <c r="J47" s="65"/>
      <c r="K47" s="11" t="s">
        <v>73</v>
      </c>
      <c r="L47" s="1"/>
      <c r="M47" s="1" t="s">
        <v>105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61"/>
    </row>
    <row r="48" spans="1:33" ht="30">
      <c r="A48" s="30" t="s">
        <v>97</v>
      </c>
      <c r="B48" s="86" t="s">
        <v>96</v>
      </c>
      <c r="C48" s="86" t="s">
        <v>1043</v>
      </c>
      <c r="D48" s="27" t="s">
        <v>971</v>
      </c>
      <c r="E48" s="76" t="s">
        <v>13</v>
      </c>
      <c r="F48" s="86" t="s">
        <v>964</v>
      </c>
      <c r="G48" s="35" t="s">
        <v>101</v>
      </c>
      <c r="H48" s="86" t="s">
        <v>318</v>
      </c>
      <c r="I48" s="86" t="s">
        <v>965</v>
      </c>
      <c r="J48" s="86"/>
      <c r="K48" s="35" t="s">
        <v>1038</v>
      </c>
      <c r="L48" s="28" t="s">
        <v>105</v>
      </c>
      <c r="M48" s="28"/>
      <c r="N48" s="28"/>
      <c r="O48" s="28"/>
      <c r="P48" s="28"/>
      <c r="Q48" s="28"/>
      <c r="R48" s="28"/>
      <c r="S48" s="28" t="s">
        <v>105</v>
      </c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60"/>
    </row>
    <row r="49" spans="1:33" ht="30">
      <c r="A49" s="115" t="s">
        <v>96</v>
      </c>
      <c r="B49" s="105" t="s">
        <v>97</v>
      </c>
      <c r="C49" s="65" t="s">
        <v>1044</v>
      </c>
      <c r="D49" s="12" t="s">
        <v>971</v>
      </c>
      <c r="E49" s="55" t="s">
        <v>13</v>
      </c>
      <c r="F49" s="65" t="s">
        <v>964</v>
      </c>
      <c r="G49" s="11" t="s">
        <v>101</v>
      </c>
      <c r="H49" s="65" t="s">
        <v>318</v>
      </c>
      <c r="I49" s="65"/>
      <c r="J49" s="65"/>
      <c r="K49" s="35" t="s">
        <v>1045</v>
      </c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60"/>
    </row>
    <row r="50" spans="1:33" ht="30">
      <c r="A50" s="115" t="s">
        <v>96</v>
      </c>
      <c r="B50" s="12" t="s">
        <v>97</v>
      </c>
      <c r="C50" s="86" t="s">
        <v>1046</v>
      </c>
      <c r="D50" s="12" t="s">
        <v>971</v>
      </c>
      <c r="E50" s="55" t="s">
        <v>13</v>
      </c>
      <c r="F50" s="65" t="s">
        <v>964</v>
      </c>
      <c r="G50" s="11" t="s">
        <v>101</v>
      </c>
      <c r="H50" s="65" t="s">
        <v>318</v>
      </c>
      <c r="I50" s="86"/>
      <c r="J50" s="86"/>
      <c r="K50" s="35" t="s">
        <v>1045</v>
      </c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60"/>
    </row>
  </sheetData>
  <phoneticPr fontId="2" type="noConversion"/>
  <conditionalFormatting sqref="A51:C1048576">
    <cfRule type="duplicateValues" dxfId="14" priority="2"/>
    <cfRule type="duplicateValues" dxfId="13" priority="10"/>
  </conditionalFormatting>
  <dataValidations disablePrompts="1" count="1">
    <dataValidation type="list" allowBlank="1" showInputMessage="1" showErrorMessage="1" sqref="H46" xr:uid="{BA248D22-9A66-40E2-93DB-AE172745D76A}">
      <formula1>"Connected product, Edge control, Analytics,"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&amp;C_x000D_&amp;1#&amp;"Calibri"&amp;6&amp;K626469 General</oddFooter>
  </headerFooter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64419-1E9F-4CE8-8017-431C8A269159}">
  <dimension ref="A1:AG7"/>
  <sheetViews>
    <sheetView zoomScaleNormal="100" workbookViewId="0">
      <pane ySplit="2" topLeftCell="A3" activePane="bottomLeft" state="frozen"/>
      <selection pane="bottomLeft" activeCell="A8" sqref="A8:XFD9"/>
    </sheetView>
  </sheetViews>
  <sheetFormatPr baseColWidth="10" defaultColWidth="8.5703125" defaultRowHeight="15"/>
  <cols>
    <col min="1" max="1" width="12.140625" style="78" customWidth="1"/>
    <col min="2" max="2" width="13.140625" style="78" customWidth="1"/>
    <col min="3" max="3" width="37.7109375" style="9" bestFit="1" customWidth="1"/>
    <col min="4" max="4" width="31.140625" style="9" bestFit="1" customWidth="1"/>
    <col min="5" max="6" width="18.85546875" style="9" bestFit="1" customWidth="1"/>
    <col min="7" max="7" width="12.42578125" style="9" customWidth="1"/>
    <col min="8" max="8" width="17.5703125" style="9" bestFit="1" customWidth="1"/>
    <col min="9" max="9" width="15" style="9" bestFit="1" customWidth="1"/>
    <col min="10" max="10" width="26.7109375" style="9" customWidth="1"/>
    <col min="11" max="11" width="40.42578125" style="9" customWidth="1"/>
    <col min="12" max="12" width="7.140625" style="9" bestFit="1" customWidth="1"/>
    <col min="13" max="13" width="3.5703125" style="9" bestFit="1" customWidth="1"/>
    <col min="14" max="14" width="4" style="9" bestFit="1" customWidth="1"/>
    <col min="15" max="15" width="11.42578125" style="9" bestFit="1" customWidth="1"/>
    <col min="16" max="16" width="4.42578125" style="9" bestFit="1" customWidth="1"/>
    <col min="17" max="17" width="6.42578125" style="9" bestFit="1" customWidth="1"/>
    <col min="18" max="18" width="8" style="9" bestFit="1" customWidth="1"/>
    <col min="19" max="19" width="11.42578125" style="9" bestFit="1" customWidth="1"/>
    <col min="20" max="20" width="5.42578125" style="9" bestFit="1" customWidth="1"/>
    <col min="21" max="21" width="6.42578125" style="9" bestFit="1" customWidth="1"/>
    <col min="22" max="22" width="10.140625" style="9" bestFit="1" customWidth="1"/>
    <col min="23" max="23" width="4.5703125" style="9" bestFit="1" customWidth="1"/>
    <col min="24" max="24" width="5.5703125" style="9" bestFit="1" customWidth="1"/>
    <col min="25" max="25" width="4.85546875" style="9" bestFit="1" customWidth="1"/>
    <col min="26" max="26" width="5.85546875" style="9" bestFit="1" customWidth="1"/>
    <col min="27" max="27" width="5" style="9" bestFit="1" customWidth="1"/>
    <col min="28" max="28" width="4.85546875" style="9" bestFit="1" customWidth="1"/>
    <col min="29" max="29" width="6.42578125" style="9" bestFit="1" customWidth="1"/>
    <col min="30" max="30" width="11.5703125" style="9" bestFit="1" customWidth="1"/>
    <col min="31" max="31" width="6" style="9" bestFit="1" customWidth="1"/>
    <col min="32" max="32" width="6.5703125" style="9" bestFit="1" customWidth="1"/>
    <col min="33" max="33" width="8.42578125" style="9" bestFit="1" customWidth="1"/>
    <col min="34" max="16384" width="8.5703125" style="9"/>
  </cols>
  <sheetData>
    <row r="1" spans="1:33" s="78" customFormat="1">
      <c r="A1" s="78">
        <f>COUNTIF(Table328[Seen on BS],"Yes")</f>
        <v>3</v>
      </c>
      <c r="B1" s="78">
        <f>COUNTIF(Table328[Fingerprints available],"Yes")</f>
        <v>1</v>
      </c>
      <c r="C1" s="78">
        <f>COUNTA(Table328[[Product range ]])</f>
        <v>3</v>
      </c>
    </row>
    <row r="2" spans="1:33" s="88" customFormat="1" ht="45">
      <c r="A2" s="103" t="s">
        <v>33</v>
      </c>
      <c r="B2" s="104" t="s">
        <v>64</v>
      </c>
      <c r="C2" s="17" t="s">
        <v>65</v>
      </c>
      <c r="D2" s="17" t="s">
        <v>66</v>
      </c>
      <c r="E2" s="17" t="s">
        <v>29</v>
      </c>
      <c r="F2" s="18" t="s">
        <v>28</v>
      </c>
      <c r="G2" s="18" t="s">
        <v>67</v>
      </c>
      <c r="H2" s="17" t="s">
        <v>68</v>
      </c>
      <c r="I2" s="17" t="s">
        <v>305</v>
      </c>
      <c r="J2" s="17" t="s">
        <v>70</v>
      </c>
      <c r="K2" s="18" t="s">
        <v>71</v>
      </c>
      <c r="L2" s="19" t="s">
        <v>72</v>
      </c>
      <c r="M2" s="19" t="s">
        <v>73</v>
      </c>
      <c r="N2" s="19" t="s">
        <v>74</v>
      </c>
      <c r="O2" s="19" t="s">
        <v>75</v>
      </c>
      <c r="P2" s="19" t="s">
        <v>76</v>
      </c>
      <c r="Q2" s="19" t="s">
        <v>77</v>
      </c>
      <c r="R2" s="19" t="s">
        <v>78</v>
      </c>
      <c r="S2" s="19" t="s">
        <v>79</v>
      </c>
      <c r="T2" s="19" t="s">
        <v>80</v>
      </c>
      <c r="U2" s="19" t="s">
        <v>81</v>
      </c>
      <c r="V2" s="19" t="s">
        <v>82</v>
      </c>
      <c r="W2" s="19" t="s">
        <v>83</v>
      </c>
      <c r="X2" s="18" t="s">
        <v>84</v>
      </c>
      <c r="Y2" s="18" t="s">
        <v>85</v>
      </c>
      <c r="Z2" s="18" t="s">
        <v>86</v>
      </c>
      <c r="AA2" s="18" t="s">
        <v>87</v>
      </c>
      <c r="AB2" s="18" t="s">
        <v>88</v>
      </c>
      <c r="AC2" s="18" t="s">
        <v>89</v>
      </c>
      <c r="AD2" s="17" t="s">
        <v>90</v>
      </c>
      <c r="AE2" s="18" t="s">
        <v>91</v>
      </c>
      <c r="AF2" s="18" t="s">
        <v>92</v>
      </c>
      <c r="AG2" s="20" t="s">
        <v>663</v>
      </c>
    </row>
    <row r="3" spans="1:33" ht="30">
      <c r="A3" s="110" t="s">
        <v>96</v>
      </c>
      <c r="B3" s="31" t="s">
        <v>96</v>
      </c>
      <c r="C3" s="13" t="s">
        <v>1327</v>
      </c>
      <c r="D3" s="13" t="s">
        <v>1104</v>
      </c>
      <c r="E3" s="1" t="s">
        <v>1330</v>
      </c>
      <c r="F3" s="55" t="s">
        <v>11</v>
      </c>
      <c r="G3" s="55" t="s">
        <v>1105</v>
      </c>
      <c r="H3" s="12" t="s">
        <v>705</v>
      </c>
      <c r="I3" s="12" t="s">
        <v>107</v>
      </c>
      <c r="J3" s="12" t="s">
        <v>1106</v>
      </c>
      <c r="K3" s="11" t="s">
        <v>1107</v>
      </c>
      <c r="L3" s="1" t="s">
        <v>105</v>
      </c>
      <c r="M3" s="1"/>
      <c r="N3" s="1" t="s">
        <v>105</v>
      </c>
      <c r="O3" s="1" t="s">
        <v>105</v>
      </c>
      <c r="P3" s="1" t="s">
        <v>105</v>
      </c>
      <c r="Q3" s="1"/>
      <c r="R3" s="1" t="s">
        <v>105</v>
      </c>
      <c r="S3" s="1" t="s">
        <v>105</v>
      </c>
      <c r="T3" s="1"/>
      <c r="U3" s="1"/>
      <c r="V3" s="1"/>
      <c r="W3" s="1"/>
      <c r="X3" s="1"/>
      <c r="Y3" s="1"/>
      <c r="Z3" s="1"/>
      <c r="AA3" s="1"/>
      <c r="AB3" s="1" t="s">
        <v>105</v>
      </c>
      <c r="AC3" s="1" t="s">
        <v>105</v>
      </c>
      <c r="AD3" s="1"/>
      <c r="AE3" s="1"/>
      <c r="AF3" s="1" t="s">
        <v>105</v>
      </c>
      <c r="AG3" s="61"/>
    </row>
    <row r="4" spans="1:33">
      <c r="A4" s="111" t="s">
        <v>96</v>
      </c>
      <c r="B4" s="117" t="s">
        <v>97</v>
      </c>
      <c r="C4" s="118" t="s">
        <v>1119</v>
      </c>
      <c r="D4" s="33"/>
      <c r="E4" s="1" t="s">
        <v>1330</v>
      </c>
      <c r="F4" s="76"/>
      <c r="G4" s="76"/>
      <c r="H4" s="27"/>
      <c r="I4" s="27"/>
      <c r="J4" s="27"/>
      <c r="K4" s="35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60"/>
    </row>
    <row r="5" spans="1:33">
      <c r="A5" s="111" t="s">
        <v>96</v>
      </c>
      <c r="B5" s="117" t="s">
        <v>97</v>
      </c>
      <c r="C5" s="118" t="s">
        <v>1120</v>
      </c>
      <c r="D5" s="33"/>
      <c r="E5" s="1" t="s">
        <v>1330</v>
      </c>
      <c r="F5" s="76"/>
      <c r="G5" s="76"/>
      <c r="H5" s="27"/>
      <c r="I5" s="27"/>
      <c r="J5" s="27"/>
      <c r="K5" s="35" t="s">
        <v>360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60"/>
    </row>
    <row r="6" spans="1:33">
      <c r="A6" s="238"/>
      <c r="B6" s="238"/>
      <c r="C6" s="239"/>
      <c r="D6" s="239"/>
      <c r="E6" s="89"/>
      <c r="F6" s="106"/>
      <c r="G6" s="106"/>
      <c r="H6" s="89"/>
      <c r="I6" s="89"/>
      <c r="J6" s="89"/>
      <c r="K6" s="240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</row>
    <row r="7" spans="1:33">
      <c r="A7" s="238"/>
      <c r="B7" s="238"/>
      <c r="C7" s="239"/>
      <c r="D7" s="239"/>
      <c r="E7" s="89"/>
      <c r="F7" s="106"/>
      <c r="G7" s="106"/>
      <c r="H7" s="89"/>
      <c r="I7" s="89"/>
      <c r="J7" s="89"/>
      <c r="K7" s="240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</row>
  </sheetData>
  <phoneticPr fontId="2" type="noConversion"/>
  <conditionalFormatting sqref="A15:A1048576 C2:C5">
    <cfRule type="duplicateValues" dxfId="12" priority="14"/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8561F-91EE-4274-B16E-D263EB1C8A20}">
  <dimension ref="A1:AG24"/>
  <sheetViews>
    <sheetView zoomScaleNormal="100" workbookViewId="0">
      <pane ySplit="2" topLeftCell="A3" activePane="bottomLeft" state="frozen"/>
      <selection pane="bottomLeft" activeCell="C1" sqref="C1"/>
    </sheetView>
  </sheetViews>
  <sheetFormatPr baseColWidth="10" defaultColWidth="8.85546875" defaultRowHeight="15"/>
  <cols>
    <col min="1" max="1" width="10.42578125" style="9" bestFit="1" customWidth="1"/>
    <col min="2" max="2" width="11.42578125" style="9" bestFit="1" customWidth="1"/>
    <col min="3" max="3" width="13" style="9" customWidth="1"/>
    <col min="4" max="4" width="42" style="9" bestFit="1" customWidth="1"/>
    <col min="5" max="5" width="14.140625" style="9" bestFit="1" customWidth="1"/>
    <col min="6" max="6" width="18.85546875" style="9" bestFit="1" customWidth="1"/>
    <col min="7" max="7" width="5.140625" style="9" bestFit="1" customWidth="1"/>
    <col min="8" max="8" width="17.5703125" style="9" bestFit="1" customWidth="1"/>
    <col min="9" max="9" width="15" style="9" bestFit="1" customWidth="1"/>
    <col min="10" max="10" width="33" style="9" bestFit="1" customWidth="1"/>
    <col min="11" max="11" width="14.42578125" style="9" bestFit="1" customWidth="1"/>
    <col min="12" max="12" width="7.140625" style="9" bestFit="1" customWidth="1"/>
    <col min="13" max="13" width="3.5703125" style="9" bestFit="1" customWidth="1"/>
    <col min="14" max="14" width="4" style="9" bestFit="1" customWidth="1"/>
    <col min="15" max="15" width="11.42578125" style="9" bestFit="1" customWidth="1"/>
    <col min="16" max="16" width="4.42578125" style="9" bestFit="1" customWidth="1"/>
    <col min="17" max="17" width="6.42578125" style="9" bestFit="1" customWidth="1"/>
    <col min="18" max="18" width="8" style="9" bestFit="1" customWidth="1"/>
    <col min="19" max="19" width="11.42578125" style="9" bestFit="1" customWidth="1"/>
    <col min="20" max="20" width="5.42578125" style="9" bestFit="1" customWidth="1"/>
    <col min="21" max="23" width="6.42578125" style="9" bestFit="1" customWidth="1"/>
    <col min="24" max="24" width="5.5703125" style="9" bestFit="1" customWidth="1"/>
    <col min="25" max="25" width="5.140625" style="9" bestFit="1" customWidth="1"/>
    <col min="26" max="26" width="5.85546875" style="9" bestFit="1" customWidth="1"/>
    <col min="27" max="27" width="5" style="9" bestFit="1" customWidth="1"/>
    <col min="28" max="28" width="4.85546875" style="9" bestFit="1" customWidth="1"/>
    <col min="29" max="29" width="6.42578125" style="9" bestFit="1" customWidth="1"/>
    <col min="30" max="30" width="11.5703125" style="9" customWidth="1"/>
    <col min="31" max="31" width="8.85546875" style="9"/>
    <col min="32" max="32" width="6.5703125" style="9" bestFit="1" customWidth="1"/>
    <col min="33" max="33" width="8.42578125" style="9" bestFit="1" customWidth="1"/>
    <col min="34" max="16384" width="8.85546875" style="9"/>
  </cols>
  <sheetData>
    <row r="1" spans="1:33" s="78" customFormat="1">
      <c r="A1" s="78">
        <f>COUNTIF(Table3295[Seen on BS],"Yes")</f>
        <v>0</v>
      </c>
      <c r="B1" s="78">
        <f>COUNTIF(Table3295[Fingerprints available],"Yes")</f>
        <v>1</v>
      </c>
      <c r="C1" s="78">
        <f>COUNTA(Table3295[[Product range ]])</f>
        <v>22</v>
      </c>
    </row>
    <row r="2" spans="1:33" s="88" customFormat="1" ht="45">
      <c r="A2" s="103" t="s">
        <v>33</v>
      </c>
      <c r="B2" s="104" t="s">
        <v>64</v>
      </c>
      <c r="C2" s="17" t="s">
        <v>65</v>
      </c>
      <c r="D2" s="17" t="s">
        <v>66</v>
      </c>
      <c r="E2" s="17" t="s">
        <v>29</v>
      </c>
      <c r="F2" s="18" t="s">
        <v>28</v>
      </c>
      <c r="G2" s="18" t="s">
        <v>67</v>
      </c>
      <c r="H2" s="17" t="s">
        <v>68</v>
      </c>
      <c r="I2" s="17" t="s">
        <v>305</v>
      </c>
      <c r="J2" s="17" t="s">
        <v>70</v>
      </c>
      <c r="K2" s="18" t="s">
        <v>71</v>
      </c>
      <c r="L2" s="19" t="s">
        <v>72</v>
      </c>
      <c r="M2" s="19" t="s">
        <v>73</v>
      </c>
      <c r="N2" s="19" t="s">
        <v>74</v>
      </c>
      <c r="O2" s="19" t="s">
        <v>75</v>
      </c>
      <c r="P2" s="19" t="s">
        <v>76</v>
      </c>
      <c r="Q2" s="19" t="s">
        <v>77</v>
      </c>
      <c r="R2" s="19" t="s">
        <v>78</v>
      </c>
      <c r="S2" s="19" t="s">
        <v>79</v>
      </c>
      <c r="T2" s="19" t="s">
        <v>80</v>
      </c>
      <c r="U2" s="19" t="s">
        <v>81</v>
      </c>
      <c r="V2" s="19" t="s">
        <v>82</v>
      </c>
      <c r="W2" s="19" t="s">
        <v>83</v>
      </c>
      <c r="X2" s="18" t="s">
        <v>84</v>
      </c>
      <c r="Y2" s="18" t="s">
        <v>85</v>
      </c>
      <c r="Z2" s="18" t="s">
        <v>86</v>
      </c>
      <c r="AA2" s="18" t="s">
        <v>87</v>
      </c>
      <c r="AB2" s="18" t="s">
        <v>88</v>
      </c>
      <c r="AC2" s="18" t="s">
        <v>89</v>
      </c>
      <c r="AD2" s="17" t="s">
        <v>90</v>
      </c>
      <c r="AE2" s="18" t="s">
        <v>91</v>
      </c>
      <c r="AF2" s="18" t="s">
        <v>92</v>
      </c>
      <c r="AG2" s="20" t="s">
        <v>663</v>
      </c>
    </row>
    <row r="3" spans="1:33" s="93" customFormat="1" ht="45">
      <c r="A3" s="110" t="s">
        <v>97</v>
      </c>
      <c r="B3" s="1" t="s">
        <v>96</v>
      </c>
      <c r="C3" s="121" t="s">
        <v>1121</v>
      </c>
      <c r="D3" s="55" t="s">
        <v>1122</v>
      </c>
      <c r="E3" s="65" t="s">
        <v>41</v>
      </c>
      <c r="F3" s="12" t="s">
        <v>964</v>
      </c>
      <c r="G3" s="55" t="s">
        <v>101</v>
      </c>
      <c r="H3" s="12" t="s">
        <v>112</v>
      </c>
      <c r="I3" s="65" t="s">
        <v>107</v>
      </c>
      <c r="J3" s="65" t="s">
        <v>1123</v>
      </c>
      <c r="K3" s="55" t="s">
        <v>103</v>
      </c>
      <c r="L3" s="1"/>
      <c r="M3" s="1"/>
      <c r="N3" s="1"/>
      <c r="O3" s="55"/>
      <c r="P3" s="1"/>
      <c r="Q3" s="1"/>
      <c r="R3" s="55"/>
      <c r="S3" s="55"/>
      <c r="T3" s="1"/>
      <c r="U3" s="55"/>
      <c r="V3" s="1"/>
      <c r="W3" s="1"/>
      <c r="X3" s="1"/>
      <c r="Y3" s="1"/>
      <c r="Z3" s="55"/>
      <c r="AA3" s="1"/>
      <c r="AB3" s="1"/>
      <c r="AC3" s="1"/>
      <c r="AD3" s="1"/>
      <c r="AE3" s="1"/>
      <c r="AF3" s="55"/>
      <c r="AG3" s="61"/>
    </row>
    <row r="4" spans="1:33" s="93" customFormat="1" ht="45">
      <c r="A4" s="110" t="s">
        <v>97</v>
      </c>
      <c r="B4" s="1" t="s">
        <v>97</v>
      </c>
      <c r="C4" s="121" t="s">
        <v>1124</v>
      </c>
      <c r="D4" s="55" t="s">
        <v>1122</v>
      </c>
      <c r="E4" s="65" t="s">
        <v>41</v>
      </c>
      <c r="F4" s="12" t="s">
        <v>964</v>
      </c>
      <c r="G4" s="55" t="s">
        <v>101</v>
      </c>
      <c r="H4" s="12" t="s">
        <v>112</v>
      </c>
      <c r="I4" s="65" t="s">
        <v>107</v>
      </c>
      <c r="J4" s="65" t="s">
        <v>1123</v>
      </c>
      <c r="K4" s="55" t="s">
        <v>103</v>
      </c>
      <c r="L4" s="55"/>
      <c r="M4" s="14"/>
      <c r="N4" s="14"/>
      <c r="O4" s="55"/>
      <c r="P4" s="14"/>
      <c r="Q4" s="14"/>
      <c r="R4" s="55"/>
      <c r="S4" s="55"/>
      <c r="T4" s="14"/>
      <c r="U4" s="55"/>
      <c r="V4" s="14"/>
      <c r="W4" s="14"/>
      <c r="X4" s="14"/>
      <c r="Y4" s="14"/>
      <c r="Z4" s="55"/>
      <c r="AA4" s="14"/>
      <c r="AB4" s="1"/>
      <c r="AC4" s="1"/>
      <c r="AD4" s="1"/>
      <c r="AE4" s="1"/>
      <c r="AF4" s="55"/>
      <c r="AG4" s="61"/>
    </row>
    <row r="5" spans="1:33" s="93" customFormat="1" ht="45">
      <c r="A5" s="110" t="s">
        <v>97</v>
      </c>
      <c r="B5" s="1" t="s">
        <v>97</v>
      </c>
      <c r="C5" s="121" t="s">
        <v>1125</v>
      </c>
      <c r="D5" s="55" t="s">
        <v>1122</v>
      </c>
      <c r="E5" s="65" t="s">
        <v>41</v>
      </c>
      <c r="F5" s="12" t="s">
        <v>964</v>
      </c>
      <c r="G5" s="55" t="s">
        <v>101</v>
      </c>
      <c r="H5" s="12" t="s">
        <v>112</v>
      </c>
      <c r="I5" s="65" t="s">
        <v>107</v>
      </c>
      <c r="J5" s="65" t="s">
        <v>1123</v>
      </c>
      <c r="K5" s="55" t="s">
        <v>103</v>
      </c>
      <c r="L5" s="1"/>
      <c r="M5" s="1"/>
      <c r="N5" s="1"/>
      <c r="O5" s="55"/>
      <c r="P5" s="1"/>
      <c r="Q5" s="1"/>
      <c r="R5" s="55"/>
      <c r="S5" s="55"/>
      <c r="T5" s="1"/>
      <c r="U5" s="55"/>
      <c r="V5" s="1"/>
      <c r="W5" s="1"/>
      <c r="X5" s="1"/>
      <c r="Y5" s="1"/>
      <c r="Z5" s="55"/>
      <c r="AA5" s="1"/>
      <c r="AB5" s="1"/>
      <c r="AC5" s="1"/>
      <c r="AD5" s="1"/>
      <c r="AE5" s="1"/>
      <c r="AF5" s="55"/>
      <c r="AG5" s="61"/>
    </row>
    <row r="6" spans="1:33" s="93" customFormat="1" ht="45">
      <c r="A6" s="110" t="s">
        <v>97</v>
      </c>
      <c r="B6" s="1" t="s">
        <v>97</v>
      </c>
      <c r="C6" s="121" t="s">
        <v>1126</v>
      </c>
      <c r="D6" s="55" t="s">
        <v>1122</v>
      </c>
      <c r="E6" s="65" t="s">
        <v>41</v>
      </c>
      <c r="F6" s="12" t="s">
        <v>964</v>
      </c>
      <c r="G6" s="55" t="s">
        <v>101</v>
      </c>
      <c r="H6" s="12" t="s">
        <v>112</v>
      </c>
      <c r="I6" s="65" t="s">
        <v>107</v>
      </c>
      <c r="J6" s="65" t="s">
        <v>1123</v>
      </c>
      <c r="K6" s="55" t="s">
        <v>103</v>
      </c>
      <c r="L6" s="1"/>
      <c r="M6" s="1"/>
      <c r="N6" s="1"/>
      <c r="O6" s="55"/>
      <c r="P6" s="1"/>
      <c r="Q6" s="1"/>
      <c r="R6" s="55"/>
      <c r="S6" s="55"/>
      <c r="T6" s="1"/>
      <c r="U6" s="55"/>
      <c r="V6" s="1"/>
      <c r="W6" s="1"/>
      <c r="X6" s="1"/>
      <c r="Y6" s="1"/>
      <c r="Z6" s="55"/>
      <c r="AA6" s="1"/>
      <c r="AB6" s="1"/>
      <c r="AC6" s="1"/>
      <c r="AD6" s="1"/>
      <c r="AE6" s="1"/>
      <c r="AF6" s="55"/>
      <c r="AG6" s="61"/>
    </row>
    <row r="7" spans="1:33" s="93" customFormat="1" ht="45">
      <c r="A7" s="110" t="s">
        <v>97</v>
      </c>
      <c r="B7" s="1" t="s">
        <v>97</v>
      </c>
      <c r="C7" s="11" t="s">
        <v>1127</v>
      </c>
      <c r="D7" s="55" t="s">
        <v>1122</v>
      </c>
      <c r="E7" s="65" t="s">
        <v>41</v>
      </c>
      <c r="F7" s="12" t="s">
        <v>964</v>
      </c>
      <c r="G7" s="55" t="s">
        <v>101</v>
      </c>
      <c r="H7" s="12" t="s">
        <v>112</v>
      </c>
      <c r="I7" s="65" t="s">
        <v>107</v>
      </c>
      <c r="J7" s="65" t="s">
        <v>1123</v>
      </c>
      <c r="K7" s="55" t="s">
        <v>103</v>
      </c>
      <c r="L7" s="1"/>
      <c r="M7" s="1"/>
      <c r="N7" s="1"/>
      <c r="O7" s="55"/>
      <c r="P7" s="1"/>
      <c r="Q7" s="1"/>
      <c r="R7" s="55"/>
      <c r="S7" s="55"/>
      <c r="T7" s="1"/>
      <c r="U7" s="55"/>
      <c r="V7" s="1"/>
      <c r="W7" s="1"/>
      <c r="X7" s="1"/>
      <c r="Y7" s="1"/>
      <c r="Z7" s="55"/>
      <c r="AA7" s="1"/>
      <c r="AB7" s="1"/>
      <c r="AC7" s="1"/>
      <c r="AD7" s="1"/>
      <c r="AE7" s="1"/>
      <c r="AF7" s="55"/>
      <c r="AG7" s="61"/>
    </row>
    <row r="8" spans="1:33" s="93" customFormat="1" ht="45">
      <c r="A8" s="110" t="s">
        <v>97</v>
      </c>
      <c r="B8" s="1" t="s">
        <v>97</v>
      </c>
      <c r="C8" s="11" t="s">
        <v>1128</v>
      </c>
      <c r="D8" s="55" t="s">
        <v>1122</v>
      </c>
      <c r="E8" s="65" t="s">
        <v>41</v>
      </c>
      <c r="F8" s="12" t="s">
        <v>964</v>
      </c>
      <c r="G8" s="55" t="s">
        <v>101</v>
      </c>
      <c r="H8" s="12" t="s">
        <v>112</v>
      </c>
      <c r="I8" s="65" t="s">
        <v>107</v>
      </c>
      <c r="J8" s="65" t="s">
        <v>1123</v>
      </c>
      <c r="K8" s="55" t="s">
        <v>103</v>
      </c>
      <c r="L8" s="1"/>
      <c r="M8" s="1"/>
      <c r="N8" s="1"/>
      <c r="O8" s="55"/>
      <c r="P8" s="1"/>
      <c r="Q8" s="1"/>
      <c r="R8" s="55"/>
      <c r="S8" s="55"/>
      <c r="T8" s="1"/>
      <c r="U8" s="55"/>
      <c r="V8" s="1"/>
      <c r="W8" s="1"/>
      <c r="X8" s="1"/>
      <c r="Y8" s="1"/>
      <c r="Z8" s="55"/>
      <c r="AA8" s="1"/>
      <c r="AB8" s="1"/>
      <c r="AC8" s="1"/>
      <c r="AD8" s="1"/>
      <c r="AE8" s="1"/>
      <c r="AF8" s="55"/>
      <c r="AG8" s="61"/>
    </row>
    <row r="9" spans="1:33" s="93" customFormat="1" ht="45">
      <c r="A9" s="110" t="s">
        <v>97</v>
      </c>
      <c r="B9" s="1" t="s">
        <v>97</v>
      </c>
      <c r="C9" s="55" t="s">
        <v>1129</v>
      </c>
      <c r="D9" s="55" t="s">
        <v>1122</v>
      </c>
      <c r="E9" s="65" t="s">
        <v>41</v>
      </c>
      <c r="F9" s="12" t="s">
        <v>964</v>
      </c>
      <c r="G9" s="55" t="s">
        <v>101</v>
      </c>
      <c r="H9" s="12" t="s">
        <v>112</v>
      </c>
      <c r="I9" s="65" t="s">
        <v>107</v>
      </c>
      <c r="J9" s="65" t="s">
        <v>1123</v>
      </c>
      <c r="K9" s="55" t="s">
        <v>103</v>
      </c>
      <c r="L9" s="1"/>
      <c r="M9" s="1"/>
      <c r="N9" s="1"/>
      <c r="O9" s="55"/>
      <c r="P9" s="1"/>
      <c r="Q9" s="1"/>
      <c r="R9" s="55"/>
      <c r="S9" s="55"/>
      <c r="T9" s="1"/>
      <c r="U9" s="55"/>
      <c r="V9" s="1"/>
      <c r="W9" s="1"/>
      <c r="X9" s="1"/>
      <c r="Y9" s="1"/>
      <c r="Z9" s="55"/>
      <c r="AA9" s="1"/>
      <c r="AB9" s="1"/>
      <c r="AC9" s="1"/>
      <c r="AD9" s="1"/>
      <c r="AE9" s="1"/>
      <c r="AF9" s="55"/>
      <c r="AG9" s="61"/>
    </row>
    <row r="10" spans="1:33" s="93" customFormat="1" ht="45">
      <c r="A10" s="110" t="s">
        <v>97</v>
      </c>
      <c r="B10" s="1" t="s">
        <v>97</v>
      </c>
      <c r="C10" s="55" t="s">
        <v>1130</v>
      </c>
      <c r="D10" s="55" t="s">
        <v>1122</v>
      </c>
      <c r="E10" s="65" t="s">
        <v>41</v>
      </c>
      <c r="F10" s="12" t="s">
        <v>964</v>
      </c>
      <c r="G10" s="55" t="s">
        <v>101</v>
      </c>
      <c r="H10" s="12" t="s">
        <v>112</v>
      </c>
      <c r="I10" s="65" t="s">
        <v>107</v>
      </c>
      <c r="J10" s="65" t="s">
        <v>1123</v>
      </c>
      <c r="K10" s="55" t="s">
        <v>103</v>
      </c>
      <c r="L10" s="55"/>
      <c r="M10" s="14"/>
      <c r="N10" s="14"/>
      <c r="O10" s="55"/>
      <c r="P10" s="14"/>
      <c r="Q10" s="14"/>
      <c r="R10" s="55"/>
      <c r="S10" s="55"/>
      <c r="T10" s="14"/>
      <c r="U10" s="55"/>
      <c r="V10" s="14"/>
      <c r="W10" s="14"/>
      <c r="X10" s="14"/>
      <c r="Y10" s="14"/>
      <c r="Z10" s="55"/>
      <c r="AA10" s="14"/>
      <c r="AB10" s="1"/>
      <c r="AC10" s="1"/>
      <c r="AD10" s="1"/>
      <c r="AE10" s="1"/>
      <c r="AF10" s="55"/>
      <c r="AG10" s="61"/>
    </row>
    <row r="11" spans="1:33" s="93" customFormat="1" ht="45">
      <c r="A11" s="110" t="s">
        <v>97</v>
      </c>
      <c r="B11" s="1" t="s">
        <v>97</v>
      </c>
      <c r="C11" s="55" t="s">
        <v>1131</v>
      </c>
      <c r="D11" s="55" t="s">
        <v>1122</v>
      </c>
      <c r="E11" s="65" t="s">
        <v>41</v>
      </c>
      <c r="F11" s="12" t="s">
        <v>964</v>
      </c>
      <c r="G11" s="55" t="s">
        <v>101</v>
      </c>
      <c r="H11" s="12" t="s">
        <v>112</v>
      </c>
      <c r="I11" s="65" t="s">
        <v>107</v>
      </c>
      <c r="J11" s="65" t="s">
        <v>1123</v>
      </c>
      <c r="K11" s="55" t="s">
        <v>103</v>
      </c>
      <c r="L11" s="55"/>
      <c r="M11" s="14"/>
      <c r="N11" s="14"/>
      <c r="O11" s="55"/>
      <c r="P11" s="14"/>
      <c r="Q11" s="14"/>
      <c r="R11" s="55"/>
      <c r="S11" s="55"/>
      <c r="T11" s="14"/>
      <c r="U11" s="55"/>
      <c r="V11" s="14"/>
      <c r="W11" s="14"/>
      <c r="X11" s="14"/>
      <c r="Y11" s="14"/>
      <c r="Z11" s="55"/>
      <c r="AA11" s="14"/>
      <c r="AB11" s="1"/>
      <c r="AC11" s="1"/>
      <c r="AD11" s="1"/>
      <c r="AE11" s="1"/>
      <c r="AF11" s="55"/>
      <c r="AG11" s="61"/>
    </row>
    <row r="12" spans="1:33" s="93" customFormat="1" ht="45">
      <c r="A12" s="110" t="s">
        <v>97</v>
      </c>
      <c r="B12" s="1" t="s">
        <v>97</v>
      </c>
      <c r="C12" s="55" t="s">
        <v>1132</v>
      </c>
      <c r="D12" s="55" t="s">
        <v>1122</v>
      </c>
      <c r="E12" s="65" t="s">
        <v>41</v>
      </c>
      <c r="F12" s="12" t="s">
        <v>964</v>
      </c>
      <c r="G12" s="55" t="s">
        <v>101</v>
      </c>
      <c r="H12" s="12" t="s">
        <v>112</v>
      </c>
      <c r="I12" s="65" t="s">
        <v>107</v>
      </c>
      <c r="J12" s="65" t="s">
        <v>1123</v>
      </c>
      <c r="K12" s="55" t="s">
        <v>103</v>
      </c>
      <c r="L12" s="1"/>
      <c r="M12" s="1"/>
      <c r="N12" s="1"/>
      <c r="O12" s="55"/>
      <c r="P12" s="1"/>
      <c r="Q12" s="1"/>
      <c r="R12" s="55"/>
      <c r="S12" s="55"/>
      <c r="T12" s="1"/>
      <c r="U12" s="55"/>
      <c r="V12" s="1"/>
      <c r="W12" s="1"/>
      <c r="X12" s="1"/>
      <c r="Y12" s="1"/>
      <c r="Z12" s="55"/>
      <c r="AA12" s="1"/>
      <c r="AB12" s="1"/>
      <c r="AC12" s="1"/>
      <c r="AD12" s="1"/>
      <c r="AE12" s="1"/>
      <c r="AF12" s="55"/>
      <c r="AG12" s="61"/>
    </row>
    <row r="13" spans="1:33" s="93" customFormat="1" ht="45">
      <c r="A13" s="110" t="s">
        <v>97</v>
      </c>
      <c r="B13" s="1" t="s">
        <v>97</v>
      </c>
      <c r="C13" s="109" t="s">
        <v>1133</v>
      </c>
      <c r="D13" s="55" t="s">
        <v>1122</v>
      </c>
      <c r="E13" s="65" t="s">
        <v>41</v>
      </c>
      <c r="F13" s="12" t="s">
        <v>964</v>
      </c>
      <c r="G13" s="55" t="s">
        <v>101</v>
      </c>
      <c r="H13" s="12" t="s">
        <v>112</v>
      </c>
      <c r="I13" s="65" t="s">
        <v>107</v>
      </c>
      <c r="J13" s="65" t="s">
        <v>1123</v>
      </c>
      <c r="K13" s="55" t="s">
        <v>103</v>
      </c>
      <c r="L13" s="1"/>
      <c r="M13" s="1"/>
      <c r="N13" s="1"/>
      <c r="O13" s="55"/>
      <c r="P13" s="1"/>
      <c r="Q13" s="1"/>
      <c r="R13" s="55"/>
      <c r="S13" s="55"/>
      <c r="T13" s="1"/>
      <c r="U13" s="55"/>
      <c r="V13" s="1"/>
      <c r="W13" s="1"/>
      <c r="X13" s="1"/>
      <c r="Y13" s="1"/>
      <c r="Z13" s="55"/>
      <c r="AA13" s="1"/>
      <c r="AB13" s="1"/>
      <c r="AC13" s="1"/>
      <c r="AD13" s="1"/>
      <c r="AE13" s="1"/>
      <c r="AF13" s="55"/>
      <c r="AG13" s="61"/>
    </row>
    <row r="14" spans="1:33" s="93" customFormat="1" ht="45">
      <c r="A14" s="110" t="s">
        <v>97</v>
      </c>
      <c r="B14" s="1" t="s">
        <v>97</v>
      </c>
      <c r="C14" s="55" t="s">
        <v>1134</v>
      </c>
      <c r="D14" s="55" t="s">
        <v>1122</v>
      </c>
      <c r="E14" s="65" t="s">
        <v>41</v>
      </c>
      <c r="F14" s="12" t="s">
        <v>964</v>
      </c>
      <c r="G14" s="55" t="s">
        <v>101</v>
      </c>
      <c r="H14" s="12" t="s">
        <v>112</v>
      </c>
      <c r="I14" s="65" t="s">
        <v>107</v>
      </c>
      <c r="J14" s="65" t="s">
        <v>1123</v>
      </c>
      <c r="K14" s="55" t="s">
        <v>103</v>
      </c>
      <c r="L14" s="1"/>
      <c r="M14" s="1"/>
      <c r="N14" s="1"/>
      <c r="O14" s="55"/>
      <c r="P14" s="1"/>
      <c r="Q14" s="1"/>
      <c r="R14" s="55"/>
      <c r="S14" s="55"/>
      <c r="T14" s="1"/>
      <c r="U14" s="55"/>
      <c r="V14" s="1"/>
      <c r="W14" s="1"/>
      <c r="X14" s="1"/>
      <c r="Y14" s="1"/>
      <c r="Z14" s="55"/>
      <c r="AA14" s="1"/>
      <c r="AB14" s="1"/>
      <c r="AC14" s="1"/>
      <c r="AD14" s="1"/>
      <c r="AE14" s="1"/>
      <c r="AF14" s="55"/>
      <c r="AG14" s="61"/>
    </row>
    <row r="15" spans="1:33" s="93" customFormat="1" ht="45">
      <c r="A15" s="110" t="s">
        <v>97</v>
      </c>
      <c r="B15" s="1" t="s">
        <v>97</v>
      </c>
      <c r="C15" s="55" t="s">
        <v>1135</v>
      </c>
      <c r="D15" s="55" t="s">
        <v>1122</v>
      </c>
      <c r="E15" s="65" t="s">
        <v>41</v>
      </c>
      <c r="F15" s="12" t="s">
        <v>964</v>
      </c>
      <c r="G15" s="55" t="s">
        <v>101</v>
      </c>
      <c r="H15" s="12" t="s">
        <v>112</v>
      </c>
      <c r="I15" s="65" t="s">
        <v>107</v>
      </c>
      <c r="J15" s="65" t="s">
        <v>1123</v>
      </c>
      <c r="K15" s="55" t="s">
        <v>103</v>
      </c>
      <c r="L15" s="1"/>
      <c r="M15" s="1"/>
      <c r="N15" s="1"/>
      <c r="O15" s="55"/>
      <c r="P15" s="1"/>
      <c r="Q15" s="1"/>
      <c r="R15" s="55"/>
      <c r="S15" s="55"/>
      <c r="T15" s="1"/>
      <c r="U15" s="55"/>
      <c r="V15" s="1"/>
      <c r="W15" s="1"/>
      <c r="X15" s="1"/>
      <c r="Y15" s="1"/>
      <c r="Z15" s="55"/>
      <c r="AA15" s="1"/>
      <c r="AB15" s="1"/>
      <c r="AC15" s="1"/>
      <c r="AD15" s="1"/>
      <c r="AE15" s="1"/>
      <c r="AF15" s="55"/>
      <c r="AG15" s="61"/>
    </row>
    <row r="16" spans="1:33" s="93" customFormat="1" ht="45">
      <c r="A16" s="110" t="s">
        <v>97</v>
      </c>
      <c r="B16" s="1" t="s">
        <v>97</v>
      </c>
      <c r="C16" s="55" t="s">
        <v>1136</v>
      </c>
      <c r="D16" s="55" t="s">
        <v>1122</v>
      </c>
      <c r="E16" s="65" t="s">
        <v>41</v>
      </c>
      <c r="F16" s="12" t="s">
        <v>964</v>
      </c>
      <c r="G16" s="55" t="s">
        <v>101</v>
      </c>
      <c r="H16" s="12" t="s">
        <v>112</v>
      </c>
      <c r="I16" s="65" t="s">
        <v>107</v>
      </c>
      <c r="J16" s="65" t="s">
        <v>1123</v>
      </c>
      <c r="K16" s="55" t="s">
        <v>103</v>
      </c>
      <c r="L16" s="1"/>
      <c r="M16" s="1"/>
      <c r="N16" s="1"/>
      <c r="O16" s="55"/>
      <c r="P16" s="1"/>
      <c r="Q16" s="1"/>
      <c r="R16" s="55"/>
      <c r="S16" s="55"/>
      <c r="T16" s="1"/>
      <c r="U16" s="55"/>
      <c r="V16" s="1"/>
      <c r="W16" s="1"/>
      <c r="X16" s="1"/>
      <c r="Y16" s="1"/>
      <c r="Z16" s="55"/>
      <c r="AA16" s="1"/>
      <c r="AB16" s="1"/>
      <c r="AC16" s="1"/>
      <c r="AD16" s="1"/>
      <c r="AE16" s="1"/>
      <c r="AF16" s="55"/>
      <c r="AG16" s="61"/>
    </row>
    <row r="17" spans="1:33" s="93" customFormat="1" ht="45">
      <c r="A17" s="110" t="s">
        <v>97</v>
      </c>
      <c r="B17" s="1" t="s">
        <v>97</v>
      </c>
      <c r="C17" s="55" t="s">
        <v>1137</v>
      </c>
      <c r="D17" s="55" t="s">
        <v>1122</v>
      </c>
      <c r="E17" s="65" t="s">
        <v>41</v>
      </c>
      <c r="F17" s="12" t="s">
        <v>964</v>
      </c>
      <c r="G17" s="55" t="s">
        <v>101</v>
      </c>
      <c r="H17" s="12" t="s">
        <v>112</v>
      </c>
      <c r="I17" s="65" t="s">
        <v>107</v>
      </c>
      <c r="J17" s="65" t="s">
        <v>1123</v>
      </c>
      <c r="K17" s="55" t="s">
        <v>103</v>
      </c>
      <c r="L17" s="1"/>
      <c r="M17" s="1"/>
      <c r="N17" s="1"/>
      <c r="O17" s="55"/>
      <c r="P17" s="1"/>
      <c r="Q17" s="1"/>
      <c r="R17" s="55"/>
      <c r="S17" s="55"/>
      <c r="T17" s="1"/>
      <c r="U17" s="55"/>
      <c r="V17" s="1"/>
      <c r="W17" s="1"/>
      <c r="X17" s="1"/>
      <c r="Y17" s="1"/>
      <c r="Z17" s="55"/>
      <c r="AA17" s="1"/>
      <c r="AB17" s="1"/>
      <c r="AC17" s="1"/>
      <c r="AD17" s="1"/>
      <c r="AE17" s="1"/>
      <c r="AF17" s="55"/>
      <c r="AG17" s="61"/>
    </row>
    <row r="18" spans="1:33" s="93" customFormat="1" ht="45">
      <c r="A18" s="110" t="s">
        <v>97</v>
      </c>
      <c r="B18" s="1" t="s">
        <v>97</v>
      </c>
      <c r="C18" s="55" t="s">
        <v>1138</v>
      </c>
      <c r="D18" s="55" t="s">
        <v>1122</v>
      </c>
      <c r="E18" s="65" t="s">
        <v>41</v>
      </c>
      <c r="F18" s="12" t="s">
        <v>964</v>
      </c>
      <c r="G18" s="55" t="s">
        <v>101</v>
      </c>
      <c r="H18" s="12" t="s">
        <v>112</v>
      </c>
      <c r="I18" s="65" t="s">
        <v>107</v>
      </c>
      <c r="J18" s="65" t="s">
        <v>1123</v>
      </c>
      <c r="K18" s="55" t="s">
        <v>103</v>
      </c>
      <c r="L18" s="1"/>
      <c r="M18" s="1"/>
      <c r="N18" s="1"/>
      <c r="O18" s="55"/>
      <c r="P18" s="1"/>
      <c r="Q18" s="1"/>
      <c r="R18" s="55"/>
      <c r="S18" s="55"/>
      <c r="T18" s="1"/>
      <c r="U18" s="55"/>
      <c r="V18" s="1"/>
      <c r="W18" s="1"/>
      <c r="X18" s="1"/>
      <c r="Y18" s="1"/>
      <c r="Z18" s="55"/>
      <c r="AA18" s="1"/>
      <c r="AB18" s="1"/>
      <c r="AC18" s="1"/>
      <c r="AD18" s="1"/>
      <c r="AE18" s="1"/>
      <c r="AF18" s="55"/>
      <c r="AG18" s="61"/>
    </row>
    <row r="19" spans="1:33" s="93" customFormat="1" ht="45">
      <c r="A19" s="110" t="s">
        <v>97</v>
      </c>
      <c r="B19" s="1" t="s">
        <v>97</v>
      </c>
      <c r="C19" s="55" t="s">
        <v>1139</v>
      </c>
      <c r="D19" s="55" t="s">
        <v>1122</v>
      </c>
      <c r="E19" s="65" t="s">
        <v>41</v>
      </c>
      <c r="F19" s="12" t="s">
        <v>964</v>
      </c>
      <c r="G19" s="55" t="s">
        <v>101</v>
      </c>
      <c r="H19" s="12" t="s">
        <v>112</v>
      </c>
      <c r="I19" s="65" t="s">
        <v>107</v>
      </c>
      <c r="J19" s="65" t="s">
        <v>1123</v>
      </c>
      <c r="K19" s="55" t="s">
        <v>103</v>
      </c>
      <c r="L19" s="1"/>
      <c r="M19" s="1"/>
      <c r="N19" s="1"/>
      <c r="O19" s="55"/>
      <c r="P19" s="1"/>
      <c r="Q19" s="1"/>
      <c r="R19" s="55"/>
      <c r="S19" s="55"/>
      <c r="T19" s="1"/>
      <c r="U19" s="55"/>
      <c r="V19" s="1"/>
      <c r="W19" s="1"/>
      <c r="X19" s="1"/>
      <c r="Y19" s="1"/>
      <c r="Z19" s="55"/>
      <c r="AA19" s="1"/>
      <c r="AB19" s="1"/>
      <c r="AC19" s="1"/>
      <c r="AD19" s="1"/>
      <c r="AE19" s="1"/>
      <c r="AF19" s="55"/>
      <c r="AG19" s="61"/>
    </row>
    <row r="20" spans="1:33" s="93" customFormat="1" ht="45">
      <c r="A20" s="110" t="s">
        <v>97</v>
      </c>
      <c r="B20" s="1" t="s">
        <v>97</v>
      </c>
      <c r="C20" s="12" t="s">
        <v>1140</v>
      </c>
      <c r="D20" s="55" t="s">
        <v>1122</v>
      </c>
      <c r="E20" s="65" t="s">
        <v>41</v>
      </c>
      <c r="F20" s="12" t="s">
        <v>964</v>
      </c>
      <c r="G20" s="55" t="s">
        <v>101</v>
      </c>
      <c r="H20" s="12" t="s">
        <v>112</v>
      </c>
      <c r="I20" s="65" t="s">
        <v>107</v>
      </c>
      <c r="J20" s="65" t="s">
        <v>1123</v>
      </c>
      <c r="K20" s="55" t="s">
        <v>103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61"/>
    </row>
    <row r="21" spans="1:33" s="93" customFormat="1" ht="45">
      <c r="A21" s="110" t="s">
        <v>97</v>
      </c>
      <c r="B21" s="1" t="s">
        <v>97</v>
      </c>
      <c r="C21" s="12" t="s">
        <v>1141</v>
      </c>
      <c r="D21" s="55" t="s">
        <v>1122</v>
      </c>
      <c r="E21" s="65" t="s">
        <v>41</v>
      </c>
      <c r="F21" s="12" t="s">
        <v>964</v>
      </c>
      <c r="G21" s="55" t="s">
        <v>101</v>
      </c>
      <c r="H21" s="12" t="s">
        <v>112</v>
      </c>
      <c r="I21" s="65" t="s">
        <v>107</v>
      </c>
      <c r="J21" s="65" t="s">
        <v>1123</v>
      </c>
      <c r="K21" s="55" t="s">
        <v>103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61"/>
    </row>
    <row r="22" spans="1:33" s="93" customFormat="1" ht="45">
      <c r="A22" s="110" t="s">
        <v>97</v>
      </c>
      <c r="B22" s="1" t="s">
        <v>97</v>
      </c>
      <c r="C22" s="12" t="s">
        <v>1142</v>
      </c>
      <c r="D22" s="55" t="s">
        <v>1122</v>
      </c>
      <c r="E22" s="65" t="s">
        <v>41</v>
      </c>
      <c r="F22" s="12" t="s">
        <v>964</v>
      </c>
      <c r="G22" s="55" t="s">
        <v>101</v>
      </c>
      <c r="H22" s="12" t="s">
        <v>112</v>
      </c>
      <c r="I22" s="65" t="s">
        <v>107</v>
      </c>
      <c r="J22" s="65" t="s">
        <v>1123</v>
      </c>
      <c r="K22" s="55" t="s">
        <v>103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61"/>
    </row>
    <row r="23" spans="1:33" s="93" customFormat="1" ht="45">
      <c r="A23" s="110" t="s">
        <v>97</v>
      </c>
      <c r="B23" s="1" t="s">
        <v>97</v>
      </c>
      <c r="C23" s="12" t="s">
        <v>1143</v>
      </c>
      <c r="D23" s="55" t="s">
        <v>1122</v>
      </c>
      <c r="E23" s="65" t="s">
        <v>41</v>
      </c>
      <c r="F23" s="12" t="s">
        <v>964</v>
      </c>
      <c r="G23" s="55" t="s">
        <v>101</v>
      </c>
      <c r="H23" s="12" t="s">
        <v>112</v>
      </c>
      <c r="I23" s="65" t="s">
        <v>107</v>
      </c>
      <c r="J23" s="65" t="s">
        <v>1123</v>
      </c>
      <c r="K23" s="55" t="s">
        <v>103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61"/>
    </row>
    <row r="24" spans="1:33" ht="45">
      <c r="A24" s="110" t="s">
        <v>97</v>
      </c>
      <c r="B24" s="28" t="s">
        <v>97</v>
      </c>
      <c r="C24" s="86" t="s">
        <v>1144</v>
      </c>
      <c r="D24" s="86" t="s">
        <v>520</v>
      </c>
      <c r="E24" s="86" t="s">
        <v>12</v>
      </c>
      <c r="F24" s="76" t="s">
        <v>11</v>
      </c>
      <c r="G24" s="76" t="s">
        <v>101</v>
      </c>
      <c r="H24" s="27" t="s">
        <v>112</v>
      </c>
      <c r="I24" s="27" t="s">
        <v>107</v>
      </c>
      <c r="J24" s="86" t="s">
        <v>1123</v>
      </c>
      <c r="K24" s="76" t="s">
        <v>103</v>
      </c>
      <c r="L24" s="28"/>
      <c r="M24" s="28"/>
      <c r="N24" s="28"/>
      <c r="O24" s="28"/>
      <c r="P24" s="28"/>
      <c r="Q24" s="28"/>
      <c r="R24" s="28" t="s">
        <v>105</v>
      </c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60"/>
    </row>
  </sheetData>
  <phoneticPr fontId="29" type="noConversion"/>
  <conditionalFormatting sqref="C2:C24 A25:A1048576">
    <cfRule type="duplicateValues" dxfId="11" priority="6"/>
  </conditionalFormatting>
  <dataValidations count="1">
    <dataValidation type="list" allowBlank="1" showInputMessage="1" showErrorMessage="1" sqref="H3:H24" xr:uid="{79C665C9-B6EF-44B2-903F-223FA7E24AD0}">
      <formula1>"Connected product, Edge control, Analytics,"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&amp;C_x000D_&amp;1#&amp;"Calibri"&amp;6&amp;K626469 General</oddFooter>
  </headerFooter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3C1F-4099-4C6E-BC5B-19DA8AB9C041}">
  <dimension ref="A1:DC26"/>
  <sheetViews>
    <sheetView topLeftCell="A11" zoomScale="103" zoomScaleNormal="75" workbookViewId="0">
      <pane xSplit="1" topLeftCell="B1" activePane="topRight" state="frozen"/>
      <selection activeCell="B16" sqref="B16"/>
      <selection pane="topRight" activeCell="E28" sqref="E28"/>
    </sheetView>
  </sheetViews>
  <sheetFormatPr baseColWidth="10" defaultColWidth="8.5703125" defaultRowHeight="15"/>
  <cols>
    <col min="1" max="1" width="30.5703125" bestFit="1" customWidth="1"/>
    <col min="2" max="2" width="31.42578125" bestFit="1" customWidth="1"/>
    <col min="3" max="3" width="22.42578125" bestFit="1" customWidth="1"/>
    <col min="4" max="4" width="20.5703125" bestFit="1" customWidth="1"/>
    <col min="5" max="5" width="11.42578125" bestFit="1" customWidth="1"/>
    <col min="6" max="6" width="29" bestFit="1" customWidth="1"/>
    <col min="7" max="7" width="17.42578125" bestFit="1" customWidth="1"/>
    <col min="8" max="8" width="19.140625" bestFit="1" customWidth="1"/>
    <col min="9" max="9" width="15.42578125" bestFit="1" customWidth="1"/>
    <col min="10" max="10" width="13.42578125" style="41" bestFit="1" customWidth="1"/>
    <col min="11" max="11" width="9.5703125" style="41" bestFit="1" customWidth="1"/>
    <col min="12" max="12" width="10.140625" style="41" bestFit="1" customWidth="1"/>
    <col min="13" max="13" width="13.5703125" style="41" bestFit="1" customWidth="1"/>
    <col min="14" max="14" width="10.5703125" style="41" bestFit="1" customWidth="1"/>
    <col min="15" max="15" width="12.42578125" style="41" bestFit="1" customWidth="1"/>
    <col min="16" max="16" width="14.42578125" style="41" bestFit="1" customWidth="1"/>
    <col min="17" max="17" width="13.42578125" style="41" bestFit="1" customWidth="1"/>
    <col min="18" max="18" width="11.42578125" style="41" bestFit="1" customWidth="1"/>
    <col min="19" max="19" width="12.42578125" style="41" bestFit="1" customWidth="1"/>
    <col min="20" max="20" width="16.42578125" style="41" bestFit="1" customWidth="1"/>
    <col min="21" max="21" width="12.5703125" style="41" bestFit="1" customWidth="1"/>
    <col min="22" max="22" width="12" style="41" bestFit="1" customWidth="1"/>
    <col min="23" max="23" width="11.42578125" style="41" bestFit="1" customWidth="1"/>
    <col min="24" max="24" width="12" style="41" bestFit="1" customWidth="1"/>
    <col min="25" max="25" width="11" style="41" bestFit="1" customWidth="1"/>
    <col min="26" max="26" width="11.42578125" style="41" bestFit="1" customWidth="1"/>
    <col min="27" max="28" width="17.42578125" style="41" bestFit="1" customWidth="1"/>
    <col min="29" max="29" width="15.42578125" style="41" bestFit="1" customWidth="1"/>
    <col min="30" max="30" width="12.5703125" style="41" bestFit="1" customWidth="1"/>
    <col min="31" max="31" width="12.140625" style="41" bestFit="1" customWidth="1"/>
  </cols>
  <sheetData>
    <row r="1" spans="1:107" s="9" customFormat="1" ht="30.75" thickBot="1">
      <c r="A1" s="37" t="s">
        <v>65</v>
      </c>
      <c r="B1" s="37" t="s">
        <v>66</v>
      </c>
      <c r="C1" s="37" t="s">
        <v>29</v>
      </c>
      <c r="D1" s="37" t="s">
        <v>28</v>
      </c>
      <c r="E1" s="37" t="s">
        <v>67</v>
      </c>
      <c r="F1" s="37" t="s">
        <v>664</v>
      </c>
      <c r="G1" s="37" t="s">
        <v>69</v>
      </c>
      <c r="H1" s="37" t="s">
        <v>70</v>
      </c>
      <c r="I1" s="37" t="s">
        <v>71</v>
      </c>
      <c r="J1" s="37" t="s">
        <v>72</v>
      </c>
      <c r="K1" s="37" t="s">
        <v>73</v>
      </c>
      <c r="L1" s="37" t="s">
        <v>74</v>
      </c>
      <c r="M1" s="37" t="s">
        <v>75</v>
      </c>
      <c r="N1" s="37" t="s">
        <v>76</v>
      </c>
      <c r="O1" s="37" t="s">
        <v>77</v>
      </c>
      <c r="P1" s="37" t="s">
        <v>78</v>
      </c>
      <c r="Q1" s="37" t="s">
        <v>79</v>
      </c>
      <c r="R1" s="37" t="s">
        <v>80</v>
      </c>
      <c r="S1" s="37" t="s">
        <v>81</v>
      </c>
      <c r="T1" s="37" t="s">
        <v>82</v>
      </c>
      <c r="U1" s="37" t="s">
        <v>83</v>
      </c>
      <c r="V1" s="37" t="s">
        <v>84</v>
      </c>
      <c r="W1" s="37" t="s">
        <v>85</v>
      </c>
      <c r="X1" s="37" t="s">
        <v>86</v>
      </c>
      <c r="Y1" s="37" t="s">
        <v>87</v>
      </c>
      <c r="Z1" s="37" t="s">
        <v>88</v>
      </c>
      <c r="AA1" s="37" t="s">
        <v>89</v>
      </c>
      <c r="AB1" s="74" t="s">
        <v>90</v>
      </c>
      <c r="AC1" s="37" t="s">
        <v>91</v>
      </c>
      <c r="AD1" s="37" t="s">
        <v>92</v>
      </c>
      <c r="AE1" s="37" t="s">
        <v>93</v>
      </c>
    </row>
    <row r="2" spans="1:107" ht="30">
      <c r="A2" s="52" t="s">
        <v>1145</v>
      </c>
      <c r="B2" s="42" t="s">
        <v>344</v>
      </c>
      <c r="C2" s="48" t="s">
        <v>19</v>
      </c>
      <c r="D2" s="42" t="s">
        <v>1146</v>
      </c>
      <c r="E2" s="42" t="s">
        <v>145</v>
      </c>
      <c r="F2" s="42" t="s">
        <v>151</v>
      </c>
      <c r="G2" s="42" t="s">
        <v>107</v>
      </c>
      <c r="H2" s="48" t="s">
        <v>147</v>
      </c>
      <c r="I2" s="32" t="s">
        <v>147</v>
      </c>
      <c r="J2" s="49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49"/>
      <c r="AB2" s="49"/>
      <c r="AC2" s="49"/>
      <c r="AD2" s="49"/>
      <c r="AE2" s="43"/>
    </row>
    <row r="3" spans="1:107" s="39" customFormat="1" ht="30">
      <c r="A3" s="53" t="s">
        <v>1147</v>
      </c>
      <c r="B3" s="2" t="s">
        <v>344</v>
      </c>
      <c r="C3" s="32" t="s">
        <v>19</v>
      </c>
      <c r="D3" s="2" t="s">
        <v>1146</v>
      </c>
      <c r="E3" s="2" t="s">
        <v>145</v>
      </c>
      <c r="F3" s="2" t="s">
        <v>151</v>
      </c>
      <c r="G3" s="2" t="s">
        <v>107</v>
      </c>
      <c r="H3" s="32" t="s">
        <v>147</v>
      </c>
      <c r="I3" s="32" t="s">
        <v>147</v>
      </c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3"/>
      <c r="AB3" s="3"/>
      <c r="AC3" s="3"/>
      <c r="AD3" s="3"/>
      <c r="AE3" s="7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</row>
    <row r="4" spans="1:107" s="40" customFormat="1" ht="30">
      <c r="A4" s="54" t="s">
        <v>1148</v>
      </c>
      <c r="B4" s="2" t="s">
        <v>344</v>
      </c>
      <c r="C4" s="32" t="s">
        <v>19</v>
      </c>
      <c r="D4" s="2" t="s">
        <v>1146</v>
      </c>
      <c r="E4" s="2" t="s">
        <v>145</v>
      </c>
      <c r="F4" s="2" t="s">
        <v>151</v>
      </c>
      <c r="G4" s="2" t="s">
        <v>107</v>
      </c>
      <c r="H4" s="32" t="s">
        <v>147</v>
      </c>
      <c r="I4" s="32" t="s">
        <v>147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7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</row>
    <row r="5" spans="1:107" s="39" customFormat="1" ht="30">
      <c r="A5" s="54" t="s">
        <v>1149</v>
      </c>
      <c r="B5" s="2" t="s">
        <v>344</v>
      </c>
      <c r="C5" s="32" t="s">
        <v>19</v>
      </c>
      <c r="D5" s="2" t="s">
        <v>1146</v>
      </c>
      <c r="E5" s="55" t="s">
        <v>145</v>
      </c>
      <c r="F5" s="2" t="s">
        <v>151</v>
      </c>
      <c r="G5" s="2" t="s">
        <v>107</v>
      </c>
      <c r="H5" s="2" t="s">
        <v>147</v>
      </c>
      <c r="I5" s="32" t="s">
        <v>147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7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</row>
    <row r="6" spans="1:107" ht="30">
      <c r="A6" s="54" t="s">
        <v>1150</v>
      </c>
      <c r="B6" s="2" t="s">
        <v>1054</v>
      </c>
      <c r="C6" s="32" t="s">
        <v>19</v>
      </c>
      <c r="D6" s="2" t="s">
        <v>1146</v>
      </c>
      <c r="E6" s="55" t="s">
        <v>101</v>
      </c>
      <c r="F6" s="2"/>
      <c r="G6" s="2"/>
      <c r="H6" s="2"/>
      <c r="I6" s="32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7"/>
    </row>
    <row r="7" spans="1:107" ht="30">
      <c r="A7" s="54" t="s">
        <v>1151</v>
      </c>
      <c r="B7" s="2" t="s">
        <v>344</v>
      </c>
      <c r="C7" s="32" t="s">
        <v>19</v>
      </c>
      <c r="D7" s="2" t="s">
        <v>11</v>
      </c>
      <c r="E7" s="55" t="s">
        <v>145</v>
      </c>
      <c r="F7" s="2" t="s">
        <v>151</v>
      </c>
      <c r="G7" s="2" t="s">
        <v>107</v>
      </c>
      <c r="H7" s="2"/>
      <c r="I7" s="32" t="s">
        <v>147</v>
      </c>
      <c r="J7" s="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3"/>
      <c r="AB7" s="3"/>
      <c r="AC7" s="3"/>
      <c r="AD7" s="3"/>
      <c r="AE7" s="7"/>
    </row>
    <row r="8" spans="1:107" ht="30">
      <c r="A8" s="54" t="s">
        <v>1152</v>
      </c>
      <c r="B8" s="2" t="s">
        <v>344</v>
      </c>
      <c r="C8" s="32" t="s">
        <v>19</v>
      </c>
      <c r="D8" s="2" t="s">
        <v>11</v>
      </c>
      <c r="E8" s="55" t="s">
        <v>145</v>
      </c>
      <c r="F8" s="2" t="s">
        <v>119</v>
      </c>
      <c r="G8" s="2" t="s">
        <v>107</v>
      </c>
      <c r="H8" s="2"/>
      <c r="I8" s="32" t="s">
        <v>147</v>
      </c>
      <c r="J8" s="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3"/>
      <c r="AB8" s="3"/>
      <c r="AC8" s="3"/>
      <c r="AD8" s="3"/>
      <c r="AE8" s="7"/>
    </row>
    <row r="9" spans="1:107" s="38" customFormat="1" ht="30">
      <c r="A9" s="54" t="s">
        <v>1153</v>
      </c>
      <c r="B9" s="2" t="s">
        <v>1154</v>
      </c>
      <c r="C9" s="2" t="s">
        <v>20</v>
      </c>
      <c r="D9" s="2" t="s">
        <v>1146</v>
      </c>
      <c r="E9" s="55" t="s">
        <v>101</v>
      </c>
      <c r="F9" s="2" t="s">
        <v>112</v>
      </c>
      <c r="G9" s="2" t="s">
        <v>107</v>
      </c>
      <c r="H9" s="56"/>
      <c r="I9" s="2" t="s">
        <v>1155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7"/>
    </row>
    <row r="10" spans="1:107" s="38" customFormat="1" ht="30">
      <c r="A10" s="54" t="s">
        <v>1156</v>
      </c>
      <c r="B10" s="2" t="s">
        <v>1157</v>
      </c>
      <c r="C10" s="2" t="s">
        <v>1158</v>
      </c>
      <c r="D10" s="2" t="s">
        <v>1146</v>
      </c>
      <c r="E10" s="55" t="s">
        <v>101</v>
      </c>
      <c r="F10" s="2" t="s">
        <v>1159</v>
      </c>
      <c r="G10" s="2" t="s">
        <v>107</v>
      </c>
      <c r="H10" s="2" t="s">
        <v>1160</v>
      </c>
      <c r="I10" s="2" t="s">
        <v>1161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7"/>
    </row>
    <row r="11" spans="1:107" ht="30">
      <c r="A11" s="54" t="s">
        <v>1162</v>
      </c>
      <c r="B11" s="2" t="s">
        <v>1157</v>
      </c>
      <c r="C11" s="2" t="s">
        <v>1158</v>
      </c>
      <c r="D11" s="2" t="s">
        <v>1146</v>
      </c>
      <c r="E11" s="55" t="s">
        <v>101</v>
      </c>
      <c r="F11" s="2" t="s">
        <v>1159</v>
      </c>
      <c r="G11" s="2" t="s">
        <v>107</v>
      </c>
      <c r="H11" s="2" t="s">
        <v>1160</v>
      </c>
      <c r="I11" s="2" t="s">
        <v>1161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7"/>
    </row>
    <row r="12" spans="1:107" ht="30">
      <c r="A12" s="54" t="s">
        <v>1163</v>
      </c>
      <c r="B12" s="2" t="s">
        <v>1157</v>
      </c>
      <c r="C12" s="2" t="s">
        <v>1158</v>
      </c>
      <c r="D12" s="2" t="s">
        <v>1146</v>
      </c>
      <c r="E12" s="55" t="s">
        <v>101</v>
      </c>
      <c r="F12" s="2" t="s">
        <v>1159</v>
      </c>
      <c r="G12" s="2" t="s">
        <v>107</v>
      </c>
      <c r="H12" s="2" t="s">
        <v>1160</v>
      </c>
      <c r="I12" s="2" t="s">
        <v>1161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7"/>
    </row>
    <row r="13" spans="1:107" ht="30">
      <c r="A13" s="54" t="s">
        <v>1164</v>
      </c>
      <c r="B13" s="2" t="s">
        <v>1157</v>
      </c>
      <c r="C13" s="2" t="s">
        <v>1158</v>
      </c>
      <c r="D13" s="2" t="s">
        <v>1146</v>
      </c>
      <c r="E13" s="55" t="s">
        <v>101</v>
      </c>
      <c r="F13" s="2" t="s">
        <v>1159</v>
      </c>
      <c r="G13" s="2" t="s">
        <v>107</v>
      </c>
      <c r="H13" s="2" t="s">
        <v>1160</v>
      </c>
      <c r="I13" s="2" t="s">
        <v>1161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7"/>
    </row>
    <row r="14" spans="1:107" s="38" customFormat="1" ht="30">
      <c r="A14" s="54" t="s">
        <v>1165</v>
      </c>
      <c r="B14" s="2" t="s">
        <v>1157</v>
      </c>
      <c r="C14" s="2" t="s">
        <v>1158</v>
      </c>
      <c r="D14" s="2" t="s">
        <v>1146</v>
      </c>
      <c r="E14" s="55" t="s">
        <v>101</v>
      </c>
      <c r="F14" s="2" t="s">
        <v>1159</v>
      </c>
      <c r="G14" s="2" t="s">
        <v>107</v>
      </c>
      <c r="H14" s="2" t="s">
        <v>1160</v>
      </c>
      <c r="I14" s="2" t="s">
        <v>1161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7"/>
    </row>
    <row r="15" spans="1:107" s="38" customFormat="1" ht="30">
      <c r="A15" s="54" t="s">
        <v>1166</v>
      </c>
      <c r="B15" s="2" t="s">
        <v>1157</v>
      </c>
      <c r="C15" s="2" t="s">
        <v>1158</v>
      </c>
      <c r="D15" s="2" t="s">
        <v>1146</v>
      </c>
      <c r="E15" s="55" t="s">
        <v>101</v>
      </c>
      <c r="F15" s="2" t="s">
        <v>1159</v>
      </c>
      <c r="G15" s="2" t="s">
        <v>107</v>
      </c>
      <c r="H15" s="2" t="s">
        <v>1160</v>
      </c>
      <c r="I15" s="2" t="s">
        <v>1161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7"/>
    </row>
    <row r="16" spans="1:107" s="38" customFormat="1" ht="30">
      <c r="A16" s="54" t="s">
        <v>1167</v>
      </c>
      <c r="B16" s="2" t="s">
        <v>1168</v>
      </c>
      <c r="C16" s="2" t="s">
        <v>1158</v>
      </c>
      <c r="D16" s="2" t="s">
        <v>1146</v>
      </c>
      <c r="E16" s="55" t="s">
        <v>101</v>
      </c>
      <c r="F16" s="2" t="s">
        <v>1159</v>
      </c>
      <c r="G16" s="2" t="s">
        <v>107</v>
      </c>
      <c r="H16" s="2" t="s">
        <v>1160</v>
      </c>
      <c r="I16" s="2" t="s">
        <v>1161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3"/>
      <c r="AA16" s="3"/>
      <c r="AB16" s="3"/>
      <c r="AC16" s="3"/>
      <c r="AD16" s="3"/>
      <c r="AE16" s="7"/>
    </row>
    <row r="17" spans="1:31" ht="30">
      <c r="A17" s="54" t="s">
        <v>1169</v>
      </c>
      <c r="B17" s="2" t="s">
        <v>1170</v>
      </c>
      <c r="C17" s="2" t="s">
        <v>1158</v>
      </c>
      <c r="D17" s="2" t="s">
        <v>1146</v>
      </c>
      <c r="E17" s="55" t="s">
        <v>101</v>
      </c>
      <c r="F17" s="2" t="s">
        <v>1159</v>
      </c>
      <c r="G17" s="2" t="s">
        <v>107</v>
      </c>
      <c r="H17" s="2" t="s">
        <v>1160</v>
      </c>
      <c r="I17" s="2" t="s">
        <v>1161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3"/>
      <c r="AA17" s="3"/>
      <c r="AB17" s="3"/>
      <c r="AC17" s="3"/>
      <c r="AD17" s="3"/>
      <c r="AE17" s="7"/>
    </row>
    <row r="18" spans="1:31" s="38" customFormat="1" ht="30">
      <c r="A18" s="54" t="s">
        <v>1171</v>
      </c>
      <c r="B18" s="2" t="s">
        <v>1172</v>
      </c>
      <c r="C18" s="2" t="s">
        <v>1158</v>
      </c>
      <c r="D18" s="2" t="s">
        <v>1146</v>
      </c>
      <c r="E18" s="55" t="s">
        <v>101</v>
      </c>
      <c r="F18" s="2" t="s">
        <v>1159</v>
      </c>
      <c r="G18" s="2" t="s">
        <v>107</v>
      </c>
      <c r="H18" s="2" t="s">
        <v>1160</v>
      </c>
      <c r="I18" s="2" t="s">
        <v>1161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3"/>
      <c r="AA18" s="3"/>
      <c r="AB18" s="3"/>
      <c r="AC18" s="3"/>
      <c r="AD18" s="3"/>
      <c r="AE18" s="7"/>
    </row>
    <row r="19" spans="1:31" s="38" customFormat="1" ht="30.75" thickBot="1">
      <c r="A19" s="57" t="s">
        <v>1173</v>
      </c>
      <c r="B19" s="44" t="s">
        <v>1174</v>
      </c>
      <c r="C19" s="2" t="s">
        <v>1175</v>
      </c>
      <c r="D19" s="44" t="s">
        <v>1146</v>
      </c>
      <c r="E19" s="58" t="s">
        <v>101</v>
      </c>
      <c r="F19" s="44" t="s">
        <v>112</v>
      </c>
      <c r="G19" s="44" t="s">
        <v>674</v>
      </c>
      <c r="H19" s="44"/>
      <c r="I19" s="2" t="s">
        <v>1161</v>
      </c>
      <c r="J19" s="51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5"/>
      <c r="AB19" s="45"/>
      <c r="AC19" s="45"/>
      <c r="AD19" s="45"/>
      <c r="AE19" s="47"/>
    </row>
    <row r="20" spans="1:31" ht="30.75" thickBot="1">
      <c r="A20" s="75" t="s">
        <v>1176</v>
      </c>
      <c r="B20" s="44" t="s">
        <v>1174</v>
      </c>
      <c r="C20" s="2" t="s">
        <v>1175</v>
      </c>
      <c r="D20" s="44" t="s">
        <v>1146</v>
      </c>
      <c r="E20" s="58" t="s">
        <v>101</v>
      </c>
      <c r="F20" s="44" t="s">
        <v>112</v>
      </c>
      <c r="G20" s="4" t="s">
        <v>1177</v>
      </c>
      <c r="H20" s="4"/>
      <c r="I20" s="4" t="s">
        <v>1178</v>
      </c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16"/>
    </row>
    <row r="21" spans="1:31" ht="30.75" thickBot="1">
      <c r="A21" s="75" t="s">
        <v>1179</v>
      </c>
      <c r="B21" s="44" t="s">
        <v>1174</v>
      </c>
      <c r="C21" s="2" t="s">
        <v>1175</v>
      </c>
      <c r="D21" s="44" t="s">
        <v>1146</v>
      </c>
      <c r="E21" s="58" t="s">
        <v>101</v>
      </c>
      <c r="F21" s="44" t="s">
        <v>112</v>
      </c>
      <c r="G21" s="4" t="s">
        <v>107</v>
      </c>
      <c r="H21" s="4"/>
      <c r="I21" s="4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16"/>
    </row>
    <row r="22" spans="1:31" ht="30.75" thickBot="1">
      <c r="A22" s="75" t="s">
        <v>1180</v>
      </c>
      <c r="B22" s="44" t="s">
        <v>1174</v>
      </c>
      <c r="C22" s="2" t="s">
        <v>1175</v>
      </c>
      <c r="D22" s="44" t="s">
        <v>1146</v>
      </c>
      <c r="E22" s="76" t="s">
        <v>1181</v>
      </c>
      <c r="F22" s="44" t="s">
        <v>112</v>
      </c>
      <c r="G22" s="4" t="s">
        <v>107</v>
      </c>
      <c r="H22" s="4" t="s">
        <v>1182</v>
      </c>
      <c r="I22" s="4" t="s">
        <v>1183</v>
      </c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16"/>
    </row>
    <row r="23" spans="1:31" ht="30.75" thickBot="1">
      <c r="A23" s="54" t="s">
        <v>1184</v>
      </c>
      <c r="B23" s="44" t="s">
        <v>1174</v>
      </c>
      <c r="C23" s="2" t="s">
        <v>1175</v>
      </c>
      <c r="D23" s="44" t="s">
        <v>1146</v>
      </c>
      <c r="E23" s="55" t="s">
        <v>101</v>
      </c>
      <c r="F23" s="44" t="s">
        <v>112</v>
      </c>
      <c r="G23" s="4" t="s">
        <v>107</v>
      </c>
      <c r="H23" s="2"/>
      <c r="I23" s="2" t="s">
        <v>103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7"/>
    </row>
    <row r="24" spans="1:31" ht="30.75" thickBot="1">
      <c r="A24" s="75" t="s">
        <v>1185</v>
      </c>
      <c r="B24" s="44" t="s">
        <v>1174</v>
      </c>
      <c r="C24" s="2" t="s">
        <v>1175</v>
      </c>
      <c r="D24" s="44" t="s">
        <v>1146</v>
      </c>
      <c r="E24" s="55" t="s">
        <v>101</v>
      </c>
      <c r="F24" s="44" t="s">
        <v>112</v>
      </c>
      <c r="G24" s="4" t="s">
        <v>107</v>
      </c>
      <c r="H24" s="4" t="s">
        <v>1186</v>
      </c>
      <c r="I24" s="4" t="s">
        <v>1187</v>
      </c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16"/>
    </row>
    <row r="25" spans="1:31" ht="30.75" thickBot="1">
      <c r="A25" s="75" t="s">
        <v>1188</v>
      </c>
      <c r="B25" s="44" t="s">
        <v>1174</v>
      </c>
      <c r="C25" s="2" t="s">
        <v>1175</v>
      </c>
      <c r="D25" s="44" t="s">
        <v>1146</v>
      </c>
      <c r="E25" s="55" t="s">
        <v>101</v>
      </c>
      <c r="F25" s="44" t="s">
        <v>112</v>
      </c>
      <c r="G25" s="4" t="s">
        <v>107</v>
      </c>
      <c r="H25" s="4" t="s">
        <v>1189</v>
      </c>
      <c r="I25" s="4" t="s">
        <v>1187</v>
      </c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16"/>
    </row>
    <row r="26" spans="1:31" ht="30.75" thickBot="1">
      <c r="A26" s="75" t="s">
        <v>1190</v>
      </c>
      <c r="B26" s="44" t="s">
        <v>1174</v>
      </c>
      <c r="C26" s="2" t="s">
        <v>1175</v>
      </c>
      <c r="D26" s="44" t="s">
        <v>1146</v>
      </c>
      <c r="E26" s="76"/>
      <c r="F26" s="4"/>
      <c r="G26" s="4"/>
      <c r="H26" s="4"/>
      <c r="I26" s="4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16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E803-4BFE-423D-80E0-4F1B266214C8}">
  <dimension ref="A1:AE100"/>
  <sheetViews>
    <sheetView zoomScale="88" workbookViewId="0">
      <pane xSplit="1" topLeftCell="B1" activePane="topRight" state="frozen"/>
      <selection activeCell="B16" sqref="B16"/>
      <selection pane="topRight" activeCell="A48" sqref="A48"/>
    </sheetView>
  </sheetViews>
  <sheetFormatPr baseColWidth="10" defaultColWidth="8.85546875" defaultRowHeight="15"/>
  <cols>
    <col min="1" max="1" width="31" customWidth="1"/>
    <col min="2" max="3" width="25.42578125" customWidth="1"/>
    <col min="4" max="4" width="27.42578125" customWidth="1"/>
    <col min="5" max="5" width="8.42578125" customWidth="1"/>
    <col min="6" max="6" width="25.42578125" customWidth="1"/>
    <col min="7" max="7" width="19.42578125" customWidth="1"/>
    <col min="8" max="9" width="27.42578125" customWidth="1"/>
    <col min="10" max="10" width="7.42578125" customWidth="1"/>
    <col min="11" max="11" width="6.5703125" customWidth="1"/>
    <col min="12" max="12" width="13.42578125" customWidth="1"/>
    <col min="13" max="13" width="7.5703125" customWidth="1"/>
    <col min="14" max="14" width="9.42578125" customWidth="1"/>
    <col min="15" max="15" width="14.42578125" customWidth="1"/>
    <col min="16" max="16" width="12.5703125" customWidth="1"/>
    <col min="17" max="17" width="8" customWidth="1"/>
    <col min="18" max="18" width="12.42578125" customWidth="1"/>
    <col min="19" max="19" width="8.42578125" customWidth="1"/>
    <col min="20" max="20" width="11.42578125" customWidth="1"/>
    <col min="21" max="21" width="9.5703125" customWidth="1"/>
    <col min="22" max="22" width="10.5703125" customWidth="1"/>
    <col min="23" max="24" width="10" customWidth="1"/>
    <col min="25" max="25" width="8" customWidth="1"/>
    <col min="26" max="26" width="18.42578125" customWidth="1"/>
    <col min="27" max="27" width="13.5703125" customWidth="1"/>
    <col min="28" max="28" width="10.5703125" customWidth="1"/>
    <col min="29" max="29" width="14.42578125" customWidth="1"/>
  </cols>
  <sheetData>
    <row r="1" spans="1:31" ht="60">
      <c r="A1" s="21" t="s">
        <v>65</v>
      </c>
      <c r="B1" s="22" t="s">
        <v>66</v>
      </c>
      <c r="C1" s="23" t="s">
        <v>29</v>
      </c>
      <c r="D1" s="23" t="s">
        <v>1191</v>
      </c>
      <c r="E1" s="23" t="s">
        <v>67</v>
      </c>
      <c r="F1" s="23" t="s">
        <v>664</v>
      </c>
      <c r="G1" s="23" t="s">
        <v>69</v>
      </c>
      <c r="H1" s="23" t="s">
        <v>70</v>
      </c>
      <c r="I1" s="23" t="s">
        <v>71</v>
      </c>
      <c r="J1" s="8" t="s">
        <v>72</v>
      </c>
      <c r="K1" s="8" t="s">
        <v>73</v>
      </c>
      <c r="L1" s="8" t="s">
        <v>74</v>
      </c>
      <c r="M1" s="8" t="s">
        <v>75</v>
      </c>
      <c r="N1" s="8" t="s">
        <v>76</v>
      </c>
      <c r="O1" s="8" t="s">
        <v>77</v>
      </c>
      <c r="P1" s="8" t="s">
        <v>78</v>
      </c>
      <c r="Q1" s="8" t="s">
        <v>79</v>
      </c>
      <c r="R1" s="8" t="s">
        <v>80</v>
      </c>
      <c r="S1" s="8" t="s">
        <v>81</v>
      </c>
      <c r="T1" s="8" t="s">
        <v>82</v>
      </c>
      <c r="U1" s="8" t="s">
        <v>83</v>
      </c>
      <c r="V1" s="23" t="s">
        <v>84</v>
      </c>
      <c r="W1" s="23" t="s">
        <v>85</v>
      </c>
      <c r="X1" s="23" t="s">
        <v>86</v>
      </c>
      <c r="Y1" s="23" t="s">
        <v>87</v>
      </c>
      <c r="Z1" s="23" t="s">
        <v>88</v>
      </c>
      <c r="AA1" s="23" t="s">
        <v>89</v>
      </c>
      <c r="AB1" s="74" t="s">
        <v>90</v>
      </c>
      <c r="AC1" s="23" t="s">
        <v>91</v>
      </c>
      <c r="AD1" s="23" t="s">
        <v>92</v>
      </c>
      <c r="AE1" s="24" t="s">
        <v>93</v>
      </c>
    </row>
    <row r="2" spans="1:31" ht="30">
      <c r="A2" s="6" t="s">
        <v>1192</v>
      </c>
      <c r="B2" s="2" t="s">
        <v>170</v>
      </c>
      <c r="C2" s="5" t="s">
        <v>1193</v>
      </c>
      <c r="D2" s="2" t="s">
        <v>10</v>
      </c>
      <c r="E2" s="3" t="s">
        <v>145</v>
      </c>
      <c r="F2" s="5" t="s">
        <v>151</v>
      </c>
      <c r="G2" s="5" t="s">
        <v>107</v>
      </c>
      <c r="H2" s="3" t="s">
        <v>171</v>
      </c>
      <c r="I2" s="3" t="s">
        <v>147</v>
      </c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3"/>
      <c r="AB2" s="3"/>
      <c r="AC2" s="3"/>
      <c r="AD2" s="3"/>
      <c r="AE2" s="7"/>
    </row>
    <row r="3" spans="1:31" ht="30">
      <c r="A3" s="6" t="s">
        <v>1194</v>
      </c>
      <c r="B3" s="2" t="s">
        <v>170</v>
      </c>
      <c r="C3" s="5" t="s">
        <v>1193</v>
      </c>
      <c r="D3" s="2" t="s">
        <v>10</v>
      </c>
      <c r="E3" s="3" t="s">
        <v>145</v>
      </c>
      <c r="F3" s="5" t="s">
        <v>151</v>
      </c>
      <c r="G3" s="5" t="s">
        <v>107</v>
      </c>
      <c r="H3" s="3" t="s">
        <v>171</v>
      </c>
      <c r="I3" s="3" t="s">
        <v>147</v>
      </c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3"/>
      <c r="AB3" s="3"/>
      <c r="AC3" s="3"/>
      <c r="AD3" s="3"/>
      <c r="AE3" s="7"/>
    </row>
    <row r="4" spans="1:31" ht="15" customHeight="1">
      <c r="A4" s="6" t="s">
        <v>1195</v>
      </c>
      <c r="B4" s="2" t="s">
        <v>170</v>
      </c>
      <c r="C4" s="5" t="s">
        <v>1193</v>
      </c>
      <c r="D4" s="2" t="s">
        <v>10</v>
      </c>
      <c r="E4" s="3" t="s">
        <v>145</v>
      </c>
      <c r="F4" s="5" t="s">
        <v>151</v>
      </c>
      <c r="G4" s="5" t="s">
        <v>107</v>
      </c>
      <c r="H4" s="3" t="s">
        <v>171</v>
      </c>
      <c r="I4" s="3" t="s">
        <v>147</v>
      </c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3"/>
      <c r="AB4" s="3"/>
      <c r="AC4" s="3"/>
      <c r="AD4" s="3"/>
      <c r="AE4" s="7"/>
    </row>
    <row r="5" spans="1:31" ht="30">
      <c r="A5" s="6" t="s">
        <v>1196</v>
      </c>
      <c r="B5" s="2" t="s">
        <v>170</v>
      </c>
      <c r="C5" s="5" t="s">
        <v>1193</v>
      </c>
      <c r="D5" s="2" t="s">
        <v>10</v>
      </c>
      <c r="E5" s="3" t="s">
        <v>145</v>
      </c>
      <c r="F5" s="5" t="s">
        <v>151</v>
      </c>
      <c r="G5" s="5" t="s">
        <v>107</v>
      </c>
      <c r="H5" s="3" t="s">
        <v>171</v>
      </c>
      <c r="I5" s="3" t="s">
        <v>147</v>
      </c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3"/>
      <c r="AB5" s="3"/>
      <c r="AC5" s="3"/>
      <c r="AD5" s="3"/>
      <c r="AE5" s="7"/>
    </row>
    <row r="6" spans="1:31" ht="30">
      <c r="A6" s="6" t="s">
        <v>1197</v>
      </c>
      <c r="B6" s="2" t="s">
        <v>170</v>
      </c>
      <c r="C6" s="5" t="s">
        <v>1193</v>
      </c>
      <c r="D6" s="2" t="s">
        <v>10</v>
      </c>
      <c r="E6" s="3" t="s">
        <v>145</v>
      </c>
      <c r="F6" s="5" t="s">
        <v>151</v>
      </c>
      <c r="G6" s="5" t="s">
        <v>107</v>
      </c>
      <c r="H6" s="3" t="s">
        <v>171</v>
      </c>
      <c r="I6" s="3" t="s">
        <v>147</v>
      </c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3"/>
      <c r="AB6" s="3"/>
      <c r="AC6" s="3"/>
      <c r="AD6" s="3"/>
      <c r="AE6" s="7"/>
    </row>
    <row r="7" spans="1:31" ht="30">
      <c r="A7" s="6" t="s">
        <v>1198</v>
      </c>
      <c r="B7" s="2" t="s">
        <v>170</v>
      </c>
      <c r="C7" s="5" t="s">
        <v>1193</v>
      </c>
      <c r="D7" s="2" t="s">
        <v>10</v>
      </c>
      <c r="E7" s="3" t="s">
        <v>145</v>
      </c>
      <c r="F7" s="5" t="s">
        <v>151</v>
      </c>
      <c r="G7" s="5" t="s">
        <v>107</v>
      </c>
      <c r="H7" s="3" t="s">
        <v>171</v>
      </c>
      <c r="I7" s="3" t="s">
        <v>147</v>
      </c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3"/>
      <c r="AB7" s="3"/>
      <c r="AC7" s="3"/>
      <c r="AD7" s="3"/>
      <c r="AE7" s="7"/>
    </row>
    <row r="8" spans="1:31" ht="30">
      <c r="A8" s="6" t="s">
        <v>1199</v>
      </c>
      <c r="B8" s="2" t="s">
        <v>170</v>
      </c>
      <c r="C8" s="5" t="s">
        <v>1193</v>
      </c>
      <c r="D8" s="2" t="s">
        <v>10</v>
      </c>
      <c r="E8" s="3" t="s">
        <v>145</v>
      </c>
      <c r="F8" s="5" t="s">
        <v>151</v>
      </c>
      <c r="G8" s="5" t="s">
        <v>107</v>
      </c>
      <c r="H8" s="3" t="s">
        <v>171</v>
      </c>
      <c r="I8" s="3" t="s">
        <v>147</v>
      </c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3"/>
      <c r="AB8" s="3"/>
      <c r="AC8" s="3"/>
      <c r="AD8" s="3"/>
      <c r="AE8" s="7"/>
    </row>
    <row r="9" spans="1:31" ht="30">
      <c r="A9" s="6" t="s">
        <v>1200</v>
      </c>
      <c r="B9" s="2" t="s">
        <v>170</v>
      </c>
      <c r="C9" s="5" t="s">
        <v>1193</v>
      </c>
      <c r="D9" s="2" t="s">
        <v>10</v>
      </c>
      <c r="E9" s="3" t="s">
        <v>145</v>
      </c>
      <c r="F9" s="5" t="s">
        <v>151</v>
      </c>
      <c r="G9" s="5" t="s">
        <v>107</v>
      </c>
      <c r="H9" s="3" t="s">
        <v>171</v>
      </c>
      <c r="I9" s="3" t="s">
        <v>147</v>
      </c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3"/>
      <c r="AB9" s="3"/>
      <c r="AC9" s="3"/>
      <c r="AD9" s="3"/>
      <c r="AE9" s="7"/>
    </row>
    <row r="10" spans="1:31" ht="30">
      <c r="A10" s="6" t="s">
        <v>1201</v>
      </c>
      <c r="B10" s="2" t="s">
        <v>170</v>
      </c>
      <c r="C10" s="5" t="s">
        <v>1193</v>
      </c>
      <c r="D10" s="2" t="s">
        <v>10</v>
      </c>
      <c r="E10" s="4" t="s">
        <v>145</v>
      </c>
      <c r="F10" s="5" t="s">
        <v>151</v>
      </c>
      <c r="G10" s="5" t="s">
        <v>107</v>
      </c>
      <c r="H10" s="3" t="s">
        <v>171</v>
      </c>
      <c r="I10" s="3" t="s">
        <v>147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7"/>
    </row>
    <row r="11" spans="1:31" ht="30">
      <c r="A11" s="6" t="s">
        <v>1202</v>
      </c>
      <c r="B11" s="2" t="s">
        <v>170</v>
      </c>
      <c r="C11" s="5" t="s">
        <v>1193</v>
      </c>
      <c r="D11" s="2" t="s">
        <v>10</v>
      </c>
      <c r="E11" s="4" t="s">
        <v>145</v>
      </c>
      <c r="F11" s="5" t="s">
        <v>151</v>
      </c>
      <c r="G11" s="5" t="s">
        <v>107</v>
      </c>
      <c r="H11" s="3" t="s">
        <v>171</v>
      </c>
      <c r="I11" s="3" t="s">
        <v>147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7"/>
    </row>
    <row r="12" spans="1:31" ht="30">
      <c r="A12" s="6" t="s">
        <v>1203</v>
      </c>
      <c r="B12" s="2" t="s">
        <v>170</v>
      </c>
      <c r="C12" s="5" t="s">
        <v>1193</v>
      </c>
      <c r="D12" s="2" t="s">
        <v>10</v>
      </c>
      <c r="E12" s="4" t="s">
        <v>145</v>
      </c>
      <c r="F12" s="5" t="s">
        <v>151</v>
      </c>
      <c r="G12" s="5" t="s">
        <v>107</v>
      </c>
      <c r="H12" s="3" t="s">
        <v>171</v>
      </c>
      <c r="I12" s="3" t="s">
        <v>147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7"/>
    </row>
    <row r="13" spans="1:31" ht="30">
      <c r="A13" s="6" t="s">
        <v>1204</v>
      </c>
      <c r="B13" s="2" t="s">
        <v>170</v>
      </c>
      <c r="C13" s="5" t="s">
        <v>1193</v>
      </c>
      <c r="D13" s="2" t="s">
        <v>10</v>
      </c>
      <c r="E13" s="4" t="s">
        <v>145</v>
      </c>
      <c r="F13" s="5" t="s">
        <v>151</v>
      </c>
      <c r="G13" s="5" t="s">
        <v>107</v>
      </c>
      <c r="H13" s="3" t="s">
        <v>171</v>
      </c>
      <c r="I13" s="3" t="s">
        <v>147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7"/>
    </row>
    <row r="14" spans="1:31" ht="30">
      <c r="A14" s="6" t="s">
        <v>1205</v>
      </c>
      <c r="B14" s="2" t="s">
        <v>170</v>
      </c>
      <c r="C14" s="5" t="s">
        <v>1193</v>
      </c>
      <c r="D14" s="2" t="s">
        <v>10</v>
      </c>
      <c r="E14" s="4" t="s">
        <v>145</v>
      </c>
      <c r="F14" s="5" t="s">
        <v>151</v>
      </c>
      <c r="G14" s="5" t="s">
        <v>107</v>
      </c>
      <c r="H14" s="3" t="s">
        <v>171</v>
      </c>
      <c r="I14" s="3" t="s">
        <v>147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7"/>
    </row>
    <row r="15" spans="1:31" ht="30">
      <c r="A15" s="6" t="s">
        <v>1206</v>
      </c>
      <c r="B15" s="2" t="s">
        <v>170</v>
      </c>
      <c r="C15" s="5" t="s">
        <v>1193</v>
      </c>
      <c r="D15" s="2" t="s">
        <v>10</v>
      </c>
      <c r="E15" s="4" t="s">
        <v>145</v>
      </c>
      <c r="F15" s="5" t="s">
        <v>151</v>
      </c>
      <c r="G15" s="5" t="s">
        <v>107</v>
      </c>
      <c r="H15" s="3" t="s">
        <v>171</v>
      </c>
      <c r="I15" s="3" t="s">
        <v>147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7"/>
    </row>
    <row r="16" spans="1:31" ht="30">
      <c r="A16" s="6" t="s">
        <v>1207</v>
      </c>
      <c r="B16" s="2" t="s">
        <v>170</v>
      </c>
      <c r="C16" s="5" t="s">
        <v>1193</v>
      </c>
      <c r="D16" s="2" t="s">
        <v>10</v>
      </c>
      <c r="E16" s="4" t="s">
        <v>145</v>
      </c>
      <c r="F16" s="5" t="s">
        <v>151</v>
      </c>
      <c r="G16" s="5" t="s">
        <v>107</v>
      </c>
      <c r="H16" s="3" t="s">
        <v>171</v>
      </c>
      <c r="I16" s="3" t="s">
        <v>147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7"/>
    </row>
    <row r="17" spans="1:31" ht="30">
      <c r="A17" s="6" t="s">
        <v>1208</v>
      </c>
      <c r="B17" s="2" t="s">
        <v>170</v>
      </c>
      <c r="C17" s="5" t="s">
        <v>1193</v>
      </c>
      <c r="D17" s="2" t="s">
        <v>10</v>
      </c>
      <c r="E17" s="4" t="s">
        <v>145</v>
      </c>
      <c r="F17" s="5" t="s">
        <v>151</v>
      </c>
      <c r="G17" s="5" t="s">
        <v>107</v>
      </c>
      <c r="H17" s="3" t="s">
        <v>171</v>
      </c>
      <c r="I17" s="3" t="s">
        <v>147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7"/>
    </row>
    <row r="18" spans="1:31" ht="30">
      <c r="A18" s="6" t="s">
        <v>1209</v>
      </c>
      <c r="B18" s="2" t="s">
        <v>170</v>
      </c>
      <c r="C18" s="5" t="s">
        <v>1193</v>
      </c>
      <c r="D18" s="2" t="s">
        <v>10</v>
      </c>
      <c r="E18" s="4" t="s">
        <v>145</v>
      </c>
      <c r="F18" s="5" t="s">
        <v>151</v>
      </c>
      <c r="G18" s="5" t="s">
        <v>107</v>
      </c>
      <c r="H18" s="3" t="s">
        <v>171</v>
      </c>
      <c r="I18" s="3" t="s">
        <v>147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7"/>
    </row>
    <row r="19" spans="1:31" ht="30">
      <c r="A19" s="6" t="s">
        <v>1210</v>
      </c>
      <c r="B19" s="2" t="s">
        <v>170</v>
      </c>
      <c r="C19" s="5" t="s">
        <v>1193</v>
      </c>
      <c r="D19" s="2" t="s">
        <v>10</v>
      </c>
      <c r="E19" s="4" t="s">
        <v>145</v>
      </c>
      <c r="F19" s="5" t="s">
        <v>151</v>
      </c>
      <c r="G19" s="5" t="s">
        <v>107</v>
      </c>
      <c r="H19" s="3" t="s">
        <v>171</v>
      </c>
      <c r="I19" s="3" t="s">
        <v>147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7"/>
    </row>
    <row r="20" spans="1:31" ht="30">
      <c r="A20" s="6" t="s">
        <v>1211</v>
      </c>
      <c r="B20" s="2" t="s">
        <v>170</v>
      </c>
      <c r="C20" s="5" t="s">
        <v>1193</v>
      </c>
      <c r="D20" s="2" t="s">
        <v>10</v>
      </c>
      <c r="E20" s="4" t="s">
        <v>145</v>
      </c>
      <c r="F20" s="5" t="s">
        <v>151</v>
      </c>
      <c r="G20" s="5" t="s">
        <v>107</v>
      </c>
      <c r="H20" s="3" t="s">
        <v>171</v>
      </c>
      <c r="I20" s="3" t="s">
        <v>147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7"/>
    </row>
    <row r="21" spans="1:31" ht="30">
      <c r="A21" s="15" t="s">
        <v>1212</v>
      </c>
      <c r="B21" s="2" t="s">
        <v>170</v>
      </c>
      <c r="C21" s="5" t="s">
        <v>1193</v>
      </c>
      <c r="D21" s="2" t="s">
        <v>10</v>
      </c>
      <c r="E21" s="4" t="s">
        <v>145</v>
      </c>
      <c r="F21" s="5" t="s">
        <v>151</v>
      </c>
      <c r="G21" s="5" t="s">
        <v>107</v>
      </c>
      <c r="H21" s="3" t="s">
        <v>171</v>
      </c>
      <c r="I21" s="3" t="s">
        <v>147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16"/>
    </row>
    <row r="22" spans="1:31" ht="30">
      <c r="A22" s="15" t="s">
        <v>1213</v>
      </c>
      <c r="B22" s="2" t="s">
        <v>170</v>
      </c>
      <c r="C22" s="5" t="s">
        <v>1193</v>
      </c>
      <c r="D22" s="2" t="s">
        <v>10</v>
      </c>
      <c r="E22" s="4" t="s">
        <v>145</v>
      </c>
      <c r="F22" s="5" t="s">
        <v>151</v>
      </c>
      <c r="G22" s="5" t="s">
        <v>107</v>
      </c>
      <c r="H22" s="3" t="s">
        <v>171</v>
      </c>
      <c r="I22" s="3" t="s">
        <v>147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16"/>
    </row>
    <row r="23" spans="1:31" ht="30">
      <c r="A23" s="15" t="s">
        <v>1214</v>
      </c>
      <c r="B23" s="2" t="s">
        <v>170</v>
      </c>
      <c r="C23" s="5" t="s">
        <v>1193</v>
      </c>
      <c r="D23" s="2" t="s">
        <v>10</v>
      </c>
      <c r="E23" s="4" t="s">
        <v>145</v>
      </c>
      <c r="F23" s="5" t="s">
        <v>151</v>
      </c>
      <c r="G23" s="5" t="s">
        <v>107</v>
      </c>
      <c r="H23" s="4" t="s">
        <v>1215</v>
      </c>
      <c r="I23" s="10" t="s">
        <v>147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16"/>
    </row>
    <row r="24" spans="1:31" ht="30">
      <c r="A24" s="15" t="s">
        <v>1216</v>
      </c>
      <c r="B24" s="2" t="s">
        <v>170</v>
      </c>
      <c r="C24" s="5" t="s">
        <v>1193</v>
      </c>
      <c r="D24" s="2" t="s">
        <v>10</v>
      </c>
      <c r="E24" s="4" t="s">
        <v>145</v>
      </c>
      <c r="F24" s="5" t="s">
        <v>151</v>
      </c>
      <c r="G24" s="5" t="s">
        <v>107</v>
      </c>
      <c r="H24" s="4" t="s">
        <v>1215</v>
      </c>
      <c r="I24" s="10" t="s">
        <v>147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16"/>
    </row>
    <row r="25" spans="1:31" ht="30">
      <c r="A25" s="15" t="s">
        <v>1217</v>
      </c>
      <c r="B25" s="2" t="s">
        <v>170</v>
      </c>
      <c r="C25" s="5" t="s">
        <v>1193</v>
      </c>
      <c r="D25" s="2" t="s">
        <v>10</v>
      </c>
      <c r="E25" s="4" t="s">
        <v>145</v>
      </c>
      <c r="F25" s="5" t="s">
        <v>151</v>
      </c>
      <c r="G25" s="5" t="s">
        <v>107</v>
      </c>
      <c r="H25" s="4" t="s">
        <v>1215</v>
      </c>
      <c r="I25" s="10" t="s">
        <v>147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16"/>
    </row>
    <row r="26" spans="1:31" ht="30">
      <c r="A26" s="15" t="s">
        <v>1218</v>
      </c>
      <c r="B26" s="2" t="s">
        <v>170</v>
      </c>
      <c r="C26" s="5" t="s">
        <v>1193</v>
      </c>
      <c r="D26" s="2" t="s">
        <v>10</v>
      </c>
      <c r="E26" s="4" t="s">
        <v>145</v>
      </c>
      <c r="F26" s="5" t="s">
        <v>151</v>
      </c>
      <c r="G26" s="5" t="s">
        <v>107</v>
      </c>
      <c r="H26" s="4" t="s">
        <v>1215</v>
      </c>
      <c r="I26" s="10" t="s">
        <v>147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16"/>
    </row>
    <row r="27" spans="1:31" ht="30">
      <c r="A27" s="15" t="s">
        <v>1219</v>
      </c>
      <c r="B27" s="2" t="s">
        <v>170</v>
      </c>
      <c r="C27" s="5" t="s">
        <v>1193</v>
      </c>
      <c r="D27" s="2" t="s">
        <v>10</v>
      </c>
      <c r="E27" s="4" t="s">
        <v>145</v>
      </c>
      <c r="F27" s="5" t="s">
        <v>151</v>
      </c>
      <c r="G27" s="5" t="s">
        <v>107</v>
      </c>
      <c r="H27" s="4" t="s">
        <v>1215</v>
      </c>
      <c r="I27" s="10" t="s">
        <v>147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16"/>
    </row>
    <row r="28" spans="1:31" ht="30">
      <c r="A28" s="15" t="s">
        <v>1220</v>
      </c>
      <c r="B28" s="2" t="s">
        <v>170</v>
      </c>
      <c r="C28" s="5" t="s">
        <v>1193</v>
      </c>
      <c r="D28" s="2" t="s">
        <v>10</v>
      </c>
      <c r="E28" s="4" t="s">
        <v>145</v>
      </c>
      <c r="F28" s="5" t="s">
        <v>151</v>
      </c>
      <c r="G28" s="5" t="s">
        <v>107</v>
      </c>
      <c r="H28" s="4" t="s">
        <v>1215</v>
      </c>
      <c r="I28" s="10" t="s">
        <v>147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16"/>
    </row>
    <row r="29" spans="1:31" ht="30">
      <c r="A29" s="15" t="s">
        <v>1221</v>
      </c>
      <c r="B29" s="2" t="s">
        <v>170</v>
      </c>
      <c r="C29" s="5" t="s">
        <v>1193</v>
      </c>
      <c r="D29" s="2" t="s">
        <v>10</v>
      </c>
      <c r="E29" s="4" t="s">
        <v>145</v>
      </c>
      <c r="F29" s="5" t="s">
        <v>151</v>
      </c>
      <c r="G29" s="5" t="s">
        <v>107</v>
      </c>
      <c r="H29" s="4" t="s">
        <v>1215</v>
      </c>
      <c r="I29" s="10" t="s">
        <v>147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16"/>
    </row>
    <row r="30" spans="1:31" ht="30">
      <c r="A30" s="15" t="s">
        <v>1222</v>
      </c>
      <c r="B30" s="2" t="s">
        <v>170</v>
      </c>
      <c r="C30" s="5" t="s">
        <v>1193</v>
      </c>
      <c r="D30" s="2" t="s">
        <v>10</v>
      </c>
      <c r="E30" s="4" t="s">
        <v>145</v>
      </c>
      <c r="F30" s="5" t="s">
        <v>151</v>
      </c>
      <c r="G30" s="5" t="s">
        <v>107</v>
      </c>
      <c r="H30" s="4" t="s">
        <v>1215</v>
      </c>
      <c r="I30" s="10" t="s">
        <v>147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16"/>
    </row>
    <row r="31" spans="1:31" ht="30">
      <c r="A31" s="15" t="s">
        <v>1223</v>
      </c>
      <c r="B31" s="2" t="s">
        <v>170</v>
      </c>
      <c r="C31" s="5" t="s">
        <v>1193</v>
      </c>
      <c r="D31" s="2" t="s">
        <v>10</v>
      </c>
      <c r="E31" s="4" t="s">
        <v>145</v>
      </c>
      <c r="F31" s="5" t="s">
        <v>151</v>
      </c>
      <c r="G31" s="5" t="s">
        <v>107</v>
      </c>
      <c r="H31" s="4" t="s">
        <v>1215</v>
      </c>
      <c r="I31" s="10" t="s">
        <v>147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16"/>
    </row>
    <row r="32" spans="1:31" ht="30">
      <c r="A32" s="15" t="s">
        <v>1224</v>
      </c>
      <c r="B32" s="2" t="s">
        <v>170</v>
      </c>
      <c r="C32" s="5" t="s">
        <v>1193</v>
      </c>
      <c r="D32" s="2" t="s">
        <v>10</v>
      </c>
      <c r="E32" s="4" t="s">
        <v>145</v>
      </c>
      <c r="F32" s="5" t="s">
        <v>151</v>
      </c>
      <c r="G32" s="5" t="s">
        <v>107</v>
      </c>
      <c r="H32" s="4" t="s">
        <v>1215</v>
      </c>
      <c r="I32" s="10" t="s">
        <v>147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16"/>
    </row>
    <row r="33" spans="1:31" ht="30">
      <c r="A33" s="15" t="s">
        <v>1225</v>
      </c>
      <c r="B33" s="2" t="s">
        <v>170</v>
      </c>
      <c r="C33" s="5" t="s">
        <v>1193</v>
      </c>
      <c r="D33" s="2" t="s">
        <v>10</v>
      </c>
      <c r="E33" s="4" t="s">
        <v>145</v>
      </c>
      <c r="F33" s="5" t="s">
        <v>151</v>
      </c>
      <c r="G33" s="5" t="s">
        <v>107</v>
      </c>
      <c r="H33" s="4" t="s">
        <v>1215</v>
      </c>
      <c r="I33" s="10" t="s">
        <v>147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16"/>
    </row>
    <row r="34" spans="1:31" ht="30">
      <c r="A34" s="15" t="s">
        <v>1226</v>
      </c>
      <c r="B34" s="2" t="s">
        <v>170</v>
      </c>
      <c r="C34" s="5" t="s">
        <v>1193</v>
      </c>
      <c r="D34" s="2" t="s">
        <v>10</v>
      </c>
      <c r="E34" s="4" t="s">
        <v>145</v>
      </c>
      <c r="F34" s="5" t="s">
        <v>151</v>
      </c>
      <c r="G34" s="5" t="s">
        <v>107</v>
      </c>
      <c r="H34" s="4" t="s">
        <v>1215</v>
      </c>
      <c r="I34" s="10" t="s">
        <v>147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16"/>
    </row>
    <row r="35" spans="1:31" ht="30">
      <c r="A35" s="15" t="s">
        <v>1227</v>
      </c>
      <c r="B35" s="2" t="s">
        <v>170</v>
      </c>
      <c r="C35" s="5" t="s">
        <v>1193</v>
      </c>
      <c r="D35" s="2" t="s">
        <v>10</v>
      </c>
      <c r="E35" s="4" t="s">
        <v>145</v>
      </c>
      <c r="F35" s="5" t="s">
        <v>151</v>
      </c>
      <c r="G35" s="5" t="s">
        <v>107</v>
      </c>
      <c r="H35" s="4" t="s">
        <v>1215</v>
      </c>
      <c r="I35" s="10" t="s">
        <v>147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16"/>
    </row>
    <row r="36" spans="1:31" ht="30">
      <c r="A36" s="15" t="s">
        <v>1228</v>
      </c>
      <c r="B36" s="2" t="s">
        <v>170</v>
      </c>
      <c r="C36" s="5" t="s">
        <v>1193</v>
      </c>
      <c r="D36" s="2" t="s">
        <v>10</v>
      </c>
      <c r="E36" s="4" t="s">
        <v>145</v>
      </c>
      <c r="F36" s="5" t="s">
        <v>151</v>
      </c>
      <c r="G36" s="5" t="s">
        <v>107</v>
      </c>
      <c r="H36" s="4" t="s">
        <v>1215</v>
      </c>
      <c r="I36" s="10" t="s">
        <v>147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16"/>
    </row>
    <row r="37" spans="1:31" ht="30">
      <c r="A37" s="15" t="s">
        <v>1229</v>
      </c>
      <c r="B37" s="2" t="s">
        <v>170</v>
      </c>
      <c r="C37" s="5" t="s">
        <v>1193</v>
      </c>
      <c r="D37" s="2" t="s">
        <v>10</v>
      </c>
      <c r="E37" s="4" t="s">
        <v>145</v>
      </c>
      <c r="F37" s="5" t="s">
        <v>151</v>
      </c>
      <c r="G37" s="5" t="s">
        <v>107</v>
      </c>
      <c r="H37" s="4" t="s">
        <v>1215</v>
      </c>
      <c r="I37" s="10" t="s">
        <v>147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16"/>
    </row>
    <row r="38" spans="1:31" ht="30">
      <c r="A38" s="15" t="s">
        <v>1230</v>
      </c>
      <c r="B38" s="2" t="s">
        <v>170</v>
      </c>
      <c r="C38" s="5" t="s">
        <v>1193</v>
      </c>
      <c r="D38" s="2" t="s">
        <v>10</v>
      </c>
      <c r="E38" s="4" t="s">
        <v>145</v>
      </c>
      <c r="F38" s="5" t="s">
        <v>151</v>
      </c>
      <c r="G38" s="5" t="s">
        <v>107</v>
      </c>
      <c r="H38" s="4" t="s">
        <v>1215</v>
      </c>
      <c r="I38" s="10" t="s">
        <v>147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16"/>
    </row>
    <row r="39" spans="1:31" ht="30">
      <c r="A39" s="15" t="s">
        <v>1231</v>
      </c>
      <c r="B39" s="2" t="s">
        <v>170</v>
      </c>
      <c r="C39" s="5" t="s">
        <v>1193</v>
      </c>
      <c r="D39" s="2" t="s">
        <v>10</v>
      </c>
      <c r="E39" s="4" t="s">
        <v>145</v>
      </c>
      <c r="F39" s="5" t="s">
        <v>151</v>
      </c>
      <c r="G39" s="5" t="s">
        <v>107</v>
      </c>
      <c r="H39" s="4" t="s">
        <v>1215</v>
      </c>
      <c r="I39" s="10" t="s">
        <v>147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16"/>
    </row>
    <row r="40" spans="1:31" ht="30">
      <c r="A40" s="15" t="s">
        <v>1232</v>
      </c>
      <c r="B40" s="2" t="s">
        <v>170</v>
      </c>
      <c r="C40" s="5" t="s">
        <v>1193</v>
      </c>
      <c r="D40" s="2" t="s">
        <v>10</v>
      </c>
      <c r="E40" s="4" t="s">
        <v>145</v>
      </c>
      <c r="F40" s="5" t="s">
        <v>151</v>
      </c>
      <c r="G40" s="5" t="s">
        <v>107</v>
      </c>
      <c r="H40" s="4" t="s">
        <v>1215</v>
      </c>
      <c r="I40" s="10" t="s">
        <v>147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16"/>
    </row>
    <row r="41" spans="1:31" ht="30">
      <c r="A41" s="15" t="s">
        <v>1233</v>
      </c>
      <c r="B41" s="2" t="s">
        <v>170</v>
      </c>
      <c r="C41" s="5" t="s">
        <v>1193</v>
      </c>
      <c r="D41" s="2" t="s">
        <v>10</v>
      </c>
      <c r="E41" s="4" t="s">
        <v>145</v>
      </c>
      <c r="F41" s="5" t="s">
        <v>151</v>
      </c>
      <c r="G41" s="5" t="s">
        <v>107</v>
      </c>
      <c r="H41" s="4" t="s">
        <v>1215</v>
      </c>
      <c r="I41" s="10" t="s">
        <v>147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16"/>
    </row>
    <row r="42" spans="1:31" ht="30">
      <c r="A42" s="15" t="s">
        <v>1234</v>
      </c>
      <c r="B42" s="2" t="s">
        <v>170</v>
      </c>
      <c r="C42" s="5" t="s">
        <v>1193</v>
      </c>
      <c r="D42" s="2" t="s">
        <v>10</v>
      </c>
      <c r="E42" s="4" t="s">
        <v>145</v>
      </c>
      <c r="F42" s="5" t="s">
        <v>151</v>
      </c>
      <c r="G42" s="5" t="s">
        <v>107</v>
      </c>
      <c r="H42" s="4" t="s">
        <v>1215</v>
      </c>
      <c r="I42" s="10" t="s">
        <v>147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16"/>
    </row>
    <row r="43" spans="1:31" ht="30">
      <c r="A43" s="15" t="s">
        <v>1235</v>
      </c>
      <c r="B43" s="2" t="s">
        <v>170</v>
      </c>
      <c r="C43" s="5" t="s">
        <v>1193</v>
      </c>
      <c r="D43" s="2" t="s">
        <v>10</v>
      </c>
      <c r="E43" s="4" t="s">
        <v>145</v>
      </c>
      <c r="F43" s="5" t="s">
        <v>151</v>
      </c>
      <c r="G43" s="5" t="s">
        <v>107</v>
      </c>
      <c r="H43" s="4" t="s">
        <v>1215</v>
      </c>
      <c r="I43" s="10" t="s">
        <v>147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16"/>
    </row>
    <row r="44" spans="1:31" ht="30">
      <c r="A44" s="15" t="s">
        <v>1236</v>
      </c>
      <c r="B44" s="2" t="s">
        <v>170</v>
      </c>
      <c r="C44" s="5" t="s">
        <v>1193</v>
      </c>
      <c r="D44" s="2" t="s">
        <v>10</v>
      </c>
      <c r="E44" s="4" t="s">
        <v>145</v>
      </c>
      <c r="F44" s="5" t="s">
        <v>151</v>
      </c>
      <c r="G44" s="5" t="s">
        <v>107</v>
      </c>
      <c r="H44" s="4" t="s">
        <v>1215</v>
      </c>
      <c r="I44" s="10" t="s">
        <v>147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16"/>
    </row>
    <row r="45" spans="1:31" ht="30">
      <c r="A45" s="15" t="s">
        <v>1237</v>
      </c>
      <c r="B45" s="2" t="s">
        <v>170</v>
      </c>
      <c r="C45" s="5" t="s">
        <v>1193</v>
      </c>
      <c r="D45" s="2" t="s">
        <v>10</v>
      </c>
      <c r="E45" s="4" t="s">
        <v>145</v>
      </c>
      <c r="F45" s="5" t="s">
        <v>151</v>
      </c>
      <c r="G45" s="5" t="s">
        <v>107</v>
      </c>
      <c r="H45" s="4" t="s">
        <v>1215</v>
      </c>
      <c r="I45" s="10" t="s">
        <v>147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16"/>
    </row>
    <row r="46" spans="1:31" ht="30">
      <c r="A46" s="15" t="s">
        <v>1238</v>
      </c>
      <c r="B46" s="2" t="s">
        <v>170</v>
      </c>
      <c r="C46" s="5" t="s">
        <v>1193</v>
      </c>
      <c r="D46" s="2" t="s">
        <v>10</v>
      </c>
      <c r="E46" s="4" t="s">
        <v>145</v>
      </c>
      <c r="F46" s="5" t="s">
        <v>151</v>
      </c>
      <c r="G46" s="5" t="s">
        <v>107</v>
      </c>
      <c r="H46" s="4" t="s">
        <v>1215</v>
      </c>
      <c r="I46" s="10" t="s">
        <v>147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16"/>
    </row>
    <row r="47" spans="1:31" ht="30">
      <c r="A47" s="15" t="s">
        <v>1239</v>
      </c>
      <c r="B47" s="2" t="s">
        <v>170</v>
      </c>
      <c r="C47" s="5" t="s">
        <v>1193</v>
      </c>
      <c r="D47" s="2" t="s">
        <v>10</v>
      </c>
      <c r="E47" s="4" t="s">
        <v>145</v>
      </c>
      <c r="F47" s="5" t="s">
        <v>151</v>
      </c>
      <c r="G47" s="5" t="s">
        <v>107</v>
      </c>
      <c r="H47" s="4" t="s">
        <v>1215</v>
      </c>
      <c r="I47" s="10" t="s">
        <v>147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16"/>
    </row>
    <row r="48" spans="1:31" ht="30">
      <c r="A48" s="15" t="s">
        <v>1240</v>
      </c>
      <c r="B48" s="2" t="s">
        <v>170</v>
      </c>
      <c r="C48" s="5" t="s">
        <v>1193</v>
      </c>
      <c r="D48" s="2" t="s">
        <v>10</v>
      </c>
      <c r="E48" s="4" t="s">
        <v>145</v>
      </c>
      <c r="F48" s="5" t="s">
        <v>151</v>
      </c>
      <c r="G48" s="5" t="s">
        <v>107</v>
      </c>
      <c r="H48" s="4" t="s">
        <v>1215</v>
      </c>
      <c r="I48" s="10" t="s">
        <v>147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16"/>
    </row>
    <row r="49" spans="1:31" ht="30">
      <c r="A49" s="15" t="s">
        <v>1216</v>
      </c>
      <c r="B49" s="2" t="s">
        <v>170</v>
      </c>
      <c r="C49" s="5" t="s">
        <v>1193</v>
      </c>
      <c r="D49" s="2" t="s">
        <v>10</v>
      </c>
      <c r="E49" s="4" t="s">
        <v>145</v>
      </c>
      <c r="F49" s="5" t="s">
        <v>151</v>
      </c>
      <c r="G49" s="5" t="s">
        <v>107</v>
      </c>
      <c r="H49" s="4" t="s">
        <v>1215</v>
      </c>
      <c r="I49" s="10" t="s">
        <v>147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16"/>
    </row>
    <row r="50" spans="1:31" ht="30">
      <c r="A50" s="15" t="s">
        <v>1241</v>
      </c>
      <c r="B50" s="2" t="s">
        <v>170</v>
      </c>
      <c r="C50" s="5" t="s">
        <v>1193</v>
      </c>
      <c r="D50" s="2" t="s">
        <v>10</v>
      </c>
      <c r="E50" s="4" t="s">
        <v>145</v>
      </c>
      <c r="F50" s="5" t="s">
        <v>151</v>
      </c>
      <c r="G50" s="5" t="s">
        <v>107</v>
      </c>
      <c r="H50" s="4" t="s">
        <v>1215</v>
      </c>
      <c r="I50" s="10" t="s">
        <v>147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16"/>
    </row>
    <row r="51" spans="1:31" ht="30">
      <c r="A51" s="15" t="s">
        <v>1242</v>
      </c>
      <c r="B51" s="2" t="s">
        <v>170</v>
      </c>
      <c r="C51" s="5" t="s">
        <v>1193</v>
      </c>
      <c r="D51" s="2" t="s">
        <v>10</v>
      </c>
      <c r="E51" s="4" t="s">
        <v>145</v>
      </c>
      <c r="F51" s="5" t="s">
        <v>151</v>
      </c>
      <c r="G51" s="5" t="s">
        <v>107</v>
      </c>
      <c r="H51" s="4" t="s">
        <v>1215</v>
      </c>
      <c r="I51" s="10" t="s">
        <v>147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16"/>
    </row>
    <row r="52" spans="1:31" ht="30">
      <c r="A52" s="15" t="s">
        <v>1243</v>
      </c>
      <c r="B52" s="2" t="s">
        <v>170</v>
      </c>
      <c r="C52" s="5" t="s">
        <v>1193</v>
      </c>
      <c r="D52" s="2" t="s">
        <v>10</v>
      </c>
      <c r="E52" s="4" t="s">
        <v>145</v>
      </c>
      <c r="F52" s="5" t="s">
        <v>151</v>
      </c>
      <c r="G52" s="5" t="s">
        <v>107</v>
      </c>
      <c r="H52" s="4" t="s">
        <v>1215</v>
      </c>
      <c r="I52" s="10" t="s">
        <v>147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16"/>
    </row>
    <row r="53" spans="1:31" ht="30">
      <c r="A53" s="6" t="s">
        <v>1244</v>
      </c>
      <c r="B53" s="2" t="s">
        <v>170</v>
      </c>
      <c r="C53" s="5" t="s">
        <v>1193</v>
      </c>
      <c r="D53" s="2" t="s">
        <v>10</v>
      </c>
      <c r="E53" s="4" t="s">
        <v>145</v>
      </c>
      <c r="F53" s="5" t="s">
        <v>151</v>
      </c>
      <c r="G53" s="5" t="s">
        <v>107</v>
      </c>
      <c r="H53" s="4" t="s">
        <v>1215</v>
      </c>
      <c r="I53" s="10" t="s">
        <v>147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7"/>
    </row>
    <row r="54" spans="1:31" ht="30">
      <c r="A54" s="6" t="s">
        <v>1245</v>
      </c>
      <c r="B54" s="2" t="s">
        <v>170</v>
      </c>
      <c r="C54" s="5" t="s">
        <v>1193</v>
      </c>
      <c r="D54" s="2" t="s">
        <v>10</v>
      </c>
      <c r="E54" s="4" t="s">
        <v>145</v>
      </c>
      <c r="F54" s="5" t="s">
        <v>151</v>
      </c>
      <c r="G54" s="5" t="s">
        <v>107</v>
      </c>
      <c r="H54" s="4" t="s">
        <v>1215</v>
      </c>
      <c r="I54" s="10" t="s">
        <v>147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7"/>
    </row>
    <row r="55" spans="1:31" ht="30">
      <c r="A55" s="6" t="s">
        <v>1246</v>
      </c>
      <c r="B55" s="2" t="s">
        <v>170</v>
      </c>
      <c r="C55" s="5" t="s">
        <v>1193</v>
      </c>
      <c r="D55" s="2" t="s">
        <v>10</v>
      </c>
      <c r="E55" s="4" t="s">
        <v>145</v>
      </c>
      <c r="F55" s="5" t="s">
        <v>151</v>
      </c>
      <c r="G55" s="5" t="s">
        <v>107</v>
      </c>
      <c r="H55" s="4" t="s">
        <v>1215</v>
      </c>
      <c r="I55" s="10" t="s">
        <v>147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7"/>
    </row>
    <row r="56" spans="1:31" ht="30">
      <c r="A56" s="6" t="s">
        <v>1247</v>
      </c>
      <c r="B56" s="2" t="s">
        <v>170</v>
      </c>
      <c r="C56" s="5" t="s">
        <v>1193</v>
      </c>
      <c r="D56" s="2" t="s">
        <v>10</v>
      </c>
      <c r="E56" s="4" t="s">
        <v>145</v>
      </c>
      <c r="F56" s="5" t="s">
        <v>151</v>
      </c>
      <c r="G56" s="5" t="s">
        <v>107</v>
      </c>
      <c r="H56" s="4" t="s">
        <v>1215</v>
      </c>
      <c r="I56" s="10" t="s">
        <v>147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7"/>
    </row>
    <row r="57" spans="1:31" ht="30">
      <c r="A57" s="6" t="s">
        <v>1248</v>
      </c>
      <c r="B57" s="2" t="s">
        <v>170</v>
      </c>
      <c r="C57" s="5" t="s">
        <v>1193</v>
      </c>
      <c r="D57" s="2" t="s">
        <v>10</v>
      </c>
      <c r="E57" s="4" t="s">
        <v>145</v>
      </c>
      <c r="F57" s="5" t="s">
        <v>151</v>
      </c>
      <c r="G57" s="5" t="s">
        <v>107</v>
      </c>
      <c r="H57" s="4" t="s">
        <v>1215</v>
      </c>
      <c r="I57" s="10" t="s">
        <v>147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7"/>
    </row>
    <row r="58" spans="1:31" ht="30">
      <c r="A58" s="6" t="s">
        <v>1249</v>
      </c>
      <c r="B58" s="2" t="s">
        <v>170</v>
      </c>
      <c r="C58" s="5" t="s">
        <v>1193</v>
      </c>
      <c r="D58" s="2" t="s">
        <v>10</v>
      </c>
      <c r="E58" s="4" t="s">
        <v>145</v>
      </c>
      <c r="F58" s="5" t="s">
        <v>151</v>
      </c>
      <c r="G58" s="5" t="s">
        <v>107</v>
      </c>
      <c r="H58" s="4" t="s">
        <v>1215</v>
      </c>
      <c r="I58" s="10" t="s">
        <v>147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7"/>
    </row>
    <row r="59" spans="1:31" ht="30">
      <c r="A59" s="6" t="s">
        <v>1250</v>
      </c>
      <c r="B59" s="2" t="s">
        <v>170</v>
      </c>
      <c r="C59" s="5" t="s">
        <v>1193</v>
      </c>
      <c r="D59" s="2" t="s">
        <v>10</v>
      </c>
      <c r="E59" s="4" t="s">
        <v>145</v>
      </c>
      <c r="F59" s="5" t="s">
        <v>151</v>
      </c>
      <c r="G59" s="5" t="s">
        <v>107</v>
      </c>
      <c r="H59" s="4" t="s">
        <v>1215</v>
      </c>
      <c r="I59" s="10" t="s">
        <v>147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7"/>
    </row>
    <row r="60" spans="1:31" ht="30">
      <c r="A60" s="6" t="s">
        <v>1251</v>
      </c>
      <c r="B60" s="2" t="s">
        <v>170</v>
      </c>
      <c r="C60" s="5" t="s">
        <v>1193</v>
      </c>
      <c r="D60" s="2" t="s">
        <v>10</v>
      </c>
      <c r="E60" s="4" t="s">
        <v>145</v>
      </c>
      <c r="F60" s="5" t="s">
        <v>151</v>
      </c>
      <c r="G60" s="5" t="s">
        <v>107</v>
      </c>
      <c r="H60" s="4" t="s">
        <v>1215</v>
      </c>
      <c r="I60" s="10" t="s">
        <v>147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7"/>
    </row>
    <row r="61" spans="1:31" ht="30">
      <c r="A61" s="6" t="s">
        <v>1252</v>
      </c>
      <c r="B61" s="2" t="s">
        <v>170</v>
      </c>
      <c r="C61" s="5" t="s">
        <v>1193</v>
      </c>
      <c r="D61" s="2" t="s">
        <v>10</v>
      </c>
      <c r="E61" s="4" t="s">
        <v>145</v>
      </c>
      <c r="F61" s="5" t="s">
        <v>151</v>
      </c>
      <c r="G61" s="5" t="s">
        <v>107</v>
      </c>
      <c r="H61" s="4" t="s">
        <v>1215</v>
      </c>
      <c r="I61" s="10" t="s">
        <v>147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7"/>
    </row>
    <row r="62" spans="1:31" ht="30">
      <c r="A62" s="6" t="s">
        <v>1253</v>
      </c>
      <c r="B62" s="2" t="s">
        <v>170</v>
      </c>
      <c r="C62" s="5" t="s">
        <v>1193</v>
      </c>
      <c r="D62" s="2" t="s">
        <v>10</v>
      </c>
      <c r="E62" s="4" t="s">
        <v>145</v>
      </c>
      <c r="F62" s="5" t="s">
        <v>151</v>
      </c>
      <c r="G62" s="5" t="s">
        <v>107</v>
      </c>
      <c r="H62" s="4" t="s">
        <v>1215</v>
      </c>
      <c r="I62" s="10" t="s">
        <v>147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7"/>
    </row>
    <row r="63" spans="1:31" ht="30">
      <c r="A63" s="6" t="s">
        <v>1254</v>
      </c>
      <c r="B63" s="2" t="s">
        <v>170</v>
      </c>
      <c r="C63" s="5" t="s">
        <v>1193</v>
      </c>
      <c r="D63" s="2" t="s">
        <v>10</v>
      </c>
      <c r="E63" s="4" t="s">
        <v>145</v>
      </c>
      <c r="F63" s="5" t="s">
        <v>151</v>
      </c>
      <c r="G63" s="5" t="s">
        <v>107</v>
      </c>
      <c r="H63" s="4" t="s">
        <v>1215</v>
      </c>
      <c r="I63" s="10" t="s">
        <v>147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7"/>
    </row>
    <row r="64" spans="1:31" ht="30">
      <c r="A64" s="6" t="s">
        <v>1255</v>
      </c>
      <c r="B64" s="2" t="s">
        <v>170</v>
      </c>
      <c r="C64" s="5" t="s">
        <v>1193</v>
      </c>
      <c r="D64" s="2" t="s">
        <v>10</v>
      </c>
      <c r="E64" s="4" t="s">
        <v>145</v>
      </c>
      <c r="F64" s="5" t="s">
        <v>151</v>
      </c>
      <c r="G64" s="5" t="s">
        <v>107</v>
      </c>
      <c r="H64" s="4" t="s">
        <v>1215</v>
      </c>
      <c r="I64" s="10" t="s">
        <v>147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7"/>
    </row>
    <row r="65" spans="1:31" ht="30">
      <c r="A65" s="6" t="s">
        <v>1256</v>
      </c>
      <c r="B65" s="2" t="s">
        <v>170</v>
      </c>
      <c r="C65" s="5" t="s">
        <v>1193</v>
      </c>
      <c r="D65" s="2" t="s">
        <v>10</v>
      </c>
      <c r="E65" s="4" t="s">
        <v>145</v>
      </c>
      <c r="F65" s="5" t="s">
        <v>151</v>
      </c>
      <c r="G65" s="5" t="s">
        <v>107</v>
      </c>
      <c r="H65" s="4" t="s">
        <v>1215</v>
      </c>
      <c r="I65" s="10" t="s">
        <v>147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7"/>
    </row>
    <row r="66" spans="1:31" ht="30">
      <c r="A66" s="6" t="s">
        <v>1257</v>
      </c>
      <c r="B66" s="2" t="s">
        <v>170</v>
      </c>
      <c r="C66" s="5" t="s">
        <v>1193</v>
      </c>
      <c r="D66" s="2" t="s">
        <v>10</v>
      </c>
      <c r="E66" s="4" t="s">
        <v>145</v>
      </c>
      <c r="F66" s="5" t="s">
        <v>151</v>
      </c>
      <c r="G66" s="5" t="s">
        <v>107</v>
      </c>
      <c r="H66" s="4" t="s">
        <v>1215</v>
      </c>
      <c r="I66" s="10" t="s">
        <v>147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7"/>
    </row>
    <row r="67" spans="1:31" ht="30">
      <c r="A67" s="6" t="s">
        <v>1258</v>
      </c>
      <c r="B67" s="2" t="s">
        <v>170</v>
      </c>
      <c r="C67" s="5" t="s">
        <v>1193</v>
      </c>
      <c r="D67" s="2" t="s">
        <v>10</v>
      </c>
      <c r="E67" s="4" t="s">
        <v>145</v>
      </c>
      <c r="F67" s="5" t="s">
        <v>151</v>
      </c>
      <c r="G67" s="5" t="s">
        <v>107</v>
      </c>
      <c r="H67" s="4" t="s">
        <v>1215</v>
      </c>
      <c r="I67" s="10" t="s">
        <v>147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7"/>
    </row>
    <row r="68" spans="1:31" ht="30">
      <c r="A68" s="6" t="s">
        <v>1259</v>
      </c>
      <c r="B68" s="2" t="s">
        <v>170</v>
      </c>
      <c r="C68" s="5" t="s">
        <v>1193</v>
      </c>
      <c r="D68" s="2" t="s">
        <v>10</v>
      </c>
      <c r="E68" s="4" t="s">
        <v>145</v>
      </c>
      <c r="F68" s="5" t="s">
        <v>151</v>
      </c>
      <c r="G68" s="5" t="s">
        <v>107</v>
      </c>
      <c r="H68" s="4" t="s">
        <v>1215</v>
      </c>
      <c r="I68" s="10" t="s">
        <v>147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7"/>
    </row>
    <row r="69" spans="1:31" ht="30">
      <c r="A69" s="6" t="s">
        <v>1260</v>
      </c>
      <c r="B69" s="2" t="s">
        <v>170</v>
      </c>
      <c r="C69" s="5" t="s">
        <v>1193</v>
      </c>
      <c r="D69" s="2" t="s">
        <v>10</v>
      </c>
      <c r="E69" s="4" t="s">
        <v>145</v>
      </c>
      <c r="F69" s="5" t="s">
        <v>151</v>
      </c>
      <c r="G69" s="5" t="s">
        <v>107</v>
      </c>
      <c r="H69" s="4" t="s">
        <v>1215</v>
      </c>
      <c r="I69" s="10" t="s">
        <v>147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7"/>
    </row>
    <row r="70" spans="1:31" ht="30">
      <c r="A70" s="6" t="s">
        <v>1261</v>
      </c>
      <c r="B70" s="2" t="s">
        <v>170</v>
      </c>
      <c r="C70" s="5" t="s">
        <v>1193</v>
      </c>
      <c r="D70" s="2" t="s">
        <v>10</v>
      </c>
      <c r="E70" s="4" t="s">
        <v>145</v>
      </c>
      <c r="F70" s="5" t="s">
        <v>151</v>
      </c>
      <c r="G70" s="5" t="s">
        <v>107</v>
      </c>
      <c r="H70" s="4" t="s">
        <v>1215</v>
      </c>
      <c r="I70" s="10" t="s">
        <v>147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7"/>
    </row>
    <row r="71" spans="1:31" ht="30">
      <c r="A71" s="6" t="s">
        <v>1262</v>
      </c>
      <c r="B71" s="2" t="s">
        <v>170</v>
      </c>
      <c r="C71" s="5" t="s">
        <v>1193</v>
      </c>
      <c r="D71" s="2" t="s">
        <v>10</v>
      </c>
      <c r="E71" s="4" t="s">
        <v>145</v>
      </c>
      <c r="F71" s="5" t="s">
        <v>151</v>
      </c>
      <c r="G71" s="5" t="s">
        <v>107</v>
      </c>
      <c r="H71" s="4" t="s">
        <v>1215</v>
      </c>
      <c r="I71" s="10" t="s">
        <v>147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7"/>
    </row>
    <row r="72" spans="1:31" ht="30">
      <c r="A72" s="6" t="s">
        <v>1263</v>
      </c>
      <c r="B72" s="2" t="s">
        <v>170</v>
      </c>
      <c r="C72" s="5" t="s">
        <v>1193</v>
      </c>
      <c r="D72" s="2" t="s">
        <v>10</v>
      </c>
      <c r="E72" s="4" t="s">
        <v>145</v>
      </c>
      <c r="F72" s="5" t="s">
        <v>151</v>
      </c>
      <c r="G72" s="5" t="s">
        <v>107</v>
      </c>
      <c r="H72" s="4" t="s">
        <v>1215</v>
      </c>
      <c r="I72" s="10" t="s">
        <v>147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7"/>
    </row>
    <row r="73" spans="1:31" ht="30">
      <c r="A73" s="6" t="s">
        <v>1264</v>
      </c>
      <c r="B73" s="2" t="s">
        <v>170</v>
      </c>
      <c r="C73" s="5" t="s">
        <v>1193</v>
      </c>
      <c r="D73" s="2" t="s">
        <v>10</v>
      </c>
      <c r="E73" s="4" t="s">
        <v>145</v>
      </c>
      <c r="F73" s="5" t="s">
        <v>151</v>
      </c>
      <c r="G73" s="5" t="s">
        <v>107</v>
      </c>
      <c r="H73" s="4" t="s">
        <v>1215</v>
      </c>
      <c r="I73" s="10" t="s">
        <v>147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7"/>
    </row>
    <row r="74" spans="1:31" ht="30">
      <c r="A74" s="6" t="s">
        <v>1265</v>
      </c>
      <c r="B74" s="2" t="s">
        <v>170</v>
      </c>
      <c r="C74" s="5" t="s">
        <v>1193</v>
      </c>
      <c r="D74" s="2" t="s">
        <v>10</v>
      </c>
      <c r="E74" s="4" t="s">
        <v>145</v>
      </c>
      <c r="F74" s="5" t="s">
        <v>151</v>
      </c>
      <c r="G74" s="5" t="s">
        <v>107</v>
      </c>
      <c r="H74" s="4" t="s">
        <v>1215</v>
      </c>
      <c r="I74" s="10" t="s">
        <v>147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7"/>
    </row>
    <row r="75" spans="1:31" ht="30">
      <c r="A75" s="6" t="s">
        <v>1266</v>
      </c>
      <c r="B75" s="2" t="s">
        <v>170</v>
      </c>
      <c r="C75" s="5" t="s">
        <v>1193</v>
      </c>
      <c r="D75" s="2" t="s">
        <v>10</v>
      </c>
      <c r="E75" s="4" t="s">
        <v>145</v>
      </c>
      <c r="F75" s="5" t="s">
        <v>151</v>
      </c>
      <c r="G75" s="5" t="s">
        <v>107</v>
      </c>
      <c r="H75" s="4" t="s">
        <v>1215</v>
      </c>
      <c r="I75" s="10" t="s">
        <v>147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7"/>
    </row>
    <row r="76" spans="1:31" ht="30">
      <c r="A76" s="6" t="s">
        <v>1267</v>
      </c>
      <c r="B76" s="2" t="s">
        <v>170</v>
      </c>
      <c r="C76" s="5" t="s">
        <v>1193</v>
      </c>
      <c r="D76" s="2" t="s">
        <v>10</v>
      </c>
      <c r="E76" s="4" t="s">
        <v>145</v>
      </c>
      <c r="F76" s="5" t="s">
        <v>151</v>
      </c>
      <c r="G76" s="5" t="s">
        <v>107</v>
      </c>
      <c r="H76" s="4" t="s">
        <v>1215</v>
      </c>
      <c r="I76" s="10" t="s">
        <v>147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7"/>
    </row>
    <row r="77" spans="1:31" ht="30">
      <c r="A77" s="15" t="s">
        <v>1268</v>
      </c>
      <c r="B77" s="2" t="s">
        <v>170</v>
      </c>
      <c r="C77" s="5" t="s">
        <v>1193</v>
      </c>
      <c r="D77" s="2" t="s">
        <v>10</v>
      </c>
      <c r="E77" s="4" t="s">
        <v>145</v>
      </c>
      <c r="F77" s="5" t="s">
        <v>151</v>
      </c>
      <c r="G77" s="5" t="s">
        <v>107</v>
      </c>
      <c r="H77" s="4" t="s">
        <v>1215</v>
      </c>
      <c r="I77" s="10" t="s">
        <v>147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16"/>
    </row>
    <row r="78" spans="1:31" ht="30">
      <c r="A78" s="15" t="s">
        <v>1269</v>
      </c>
      <c r="B78" s="2" t="s">
        <v>170</v>
      </c>
      <c r="C78" s="5" t="s">
        <v>1193</v>
      </c>
      <c r="D78" s="2" t="s">
        <v>10</v>
      </c>
      <c r="E78" s="4" t="s">
        <v>145</v>
      </c>
      <c r="F78" s="5" t="s">
        <v>151</v>
      </c>
      <c r="G78" s="5" t="s">
        <v>107</v>
      </c>
      <c r="H78" s="4" t="s">
        <v>1215</v>
      </c>
      <c r="I78" s="10" t="s">
        <v>147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16"/>
    </row>
    <row r="79" spans="1:31" ht="30">
      <c r="A79" s="15" t="s">
        <v>1270</v>
      </c>
      <c r="B79" s="2" t="s">
        <v>170</v>
      </c>
      <c r="C79" s="5" t="s">
        <v>1193</v>
      </c>
      <c r="D79" s="2" t="s">
        <v>10</v>
      </c>
      <c r="E79" s="4" t="s">
        <v>145</v>
      </c>
      <c r="F79" s="5" t="s">
        <v>151</v>
      </c>
      <c r="G79" s="5" t="s">
        <v>107</v>
      </c>
      <c r="H79" s="4" t="s">
        <v>1215</v>
      </c>
      <c r="I79" s="10" t="s">
        <v>147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16"/>
    </row>
    <row r="80" spans="1:31" ht="30">
      <c r="A80" s="15" t="s">
        <v>1271</v>
      </c>
      <c r="B80" s="2" t="s">
        <v>170</v>
      </c>
      <c r="C80" s="5" t="s">
        <v>1193</v>
      </c>
      <c r="D80" s="2" t="s">
        <v>10</v>
      </c>
      <c r="E80" s="4" t="s">
        <v>145</v>
      </c>
      <c r="F80" s="5" t="s">
        <v>151</v>
      </c>
      <c r="G80" s="5" t="s">
        <v>107</v>
      </c>
      <c r="H80" s="4" t="s">
        <v>1215</v>
      </c>
      <c r="I80" s="10" t="s">
        <v>147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16"/>
    </row>
    <row r="81" spans="1:31" ht="30">
      <c r="A81" s="15" t="s">
        <v>1272</v>
      </c>
      <c r="B81" s="2" t="s">
        <v>170</v>
      </c>
      <c r="C81" s="5" t="s">
        <v>1193</v>
      </c>
      <c r="D81" s="2" t="s">
        <v>10</v>
      </c>
      <c r="E81" s="4" t="s">
        <v>145</v>
      </c>
      <c r="F81" s="5" t="s">
        <v>151</v>
      </c>
      <c r="G81" s="5" t="s">
        <v>107</v>
      </c>
      <c r="H81" s="4" t="s">
        <v>1215</v>
      </c>
      <c r="I81" s="10" t="s">
        <v>147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16"/>
    </row>
    <row r="82" spans="1:31" ht="30">
      <c r="A82" s="15" t="s">
        <v>1273</v>
      </c>
      <c r="B82" s="2" t="s">
        <v>170</v>
      </c>
      <c r="C82" s="5" t="s">
        <v>1193</v>
      </c>
      <c r="D82" s="2" t="s">
        <v>10</v>
      </c>
      <c r="E82" s="4" t="s">
        <v>145</v>
      </c>
      <c r="F82" s="5" t="s">
        <v>151</v>
      </c>
      <c r="G82" s="5" t="s">
        <v>107</v>
      </c>
      <c r="H82" s="4" t="s">
        <v>1215</v>
      </c>
      <c r="I82" s="10" t="s">
        <v>147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16"/>
    </row>
    <row r="83" spans="1:31" ht="30">
      <c r="A83" s="15" t="s">
        <v>1274</v>
      </c>
      <c r="B83" s="2" t="s">
        <v>170</v>
      </c>
      <c r="C83" s="5" t="s">
        <v>1193</v>
      </c>
      <c r="D83" s="2" t="s">
        <v>10</v>
      </c>
      <c r="E83" s="4" t="s">
        <v>145</v>
      </c>
      <c r="F83" s="5" t="s">
        <v>151</v>
      </c>
      <c r="G83" s="5" t="s">
        <v>107</v>
      </c>
      <c r="H83" s="4" t="s">
        <v>1215</v>
      </c>
      <c r="I83" s="10" t="s">
        <v>147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16"/>
    </row>
    <row r="84" spans="1:31" ht="30">
      <c r="A84" s="15" t="s">
        <v>1275</v>
      </c>
      <c r="B84" s="2" t="s">
        <v>170</v>
      </c>
      <c r="C84" s="5" t="s">
        <v>1193</v>
      </c>
      <c r="D84" s="2" t="s">
        <v>10</v>
      </c>
      <c r="E84" s="4" t="s">
        <v>145</v>
      </c>
      <c r="F84" s="5" t="s">
        <v>151</v>
      </c>
      <c r="G84" s="5" t="s">
        <v>107</v>
      </c>
      <c r="H84" s="4" t="s">
        <v>1215</v>
      </c>
      <c r="I84" s="10" t="s">
        <v>147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16"/>
    </row>
    <row r="85" spans="1:31" ht="30">
      <c r="A85" s="15" t="s">
        <v>1276</v>
      </c>
      <c r="B85" s="2" t="s">
        <v>170</v>
      </c>
      <c r="C85" s="5" t="s">
        <v>1193</v>
      </c>
      <c r="D85" s="2" t="s">
        <v>10</v>
      </c>
      <c r="E85" s="4" t="s">
        <v>145</v>
      </c>
      <c r="F85" s="5" t="s">
        <v>151</v>
      </c>
      <c r="G85" s="5" t="s">
        <v>107</v>
      </c>
      <c r="H85" s="4" t="s">
        <v>1215</v>
      </c>
      <c r="I85" s="10" t="s">
        <v>147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16"/>
    </row>
    <row r="86" spans="1:31" ht="30">
      <c r="A86" s="15" t="s">
        <v>1277</v>
      </c>
      <c r="B86" s="2" t="s">
        <v>170</v>
      </c>
      <c r="C86" s="5" t="s">
        <v>1193</v>
      </c>
      <c r="D86" s="2" t="s">
        <v>10</v>
      </c>
      <c r="E86" s="4" t="s">
        <v>145</v>
      </c>
      <c r="F86" s="5" t="s">
        <v>151</v>
      </c>
      <c r="G86" s="5" t="s">
        <v>107</v>
      </c>
      <c r="H86" s="4" t="s">
        <v>1215</v>
      </c>
      <c r="I86" s="10" t="s">
        <v>147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16"/>
    </row>
    <row r="87" spans="1:31" ht="30">
      <c r="A87" s="15" t="s">
        <v>1278</v>
      </c>
      <c r="B87" s="2" t="s">
        <v>170</v>
      </c>
      <c r="C87" s="5" t="s">
        <v>1193</v>
      </c>
      <c r="D87" s="2" t="s">
        <v>10</v>
      </c>
      <c r="E87" s="4" t="s">
        <v>145</v>
      </c>
      <c r="F87" s="5" t="s">
        <v>151</v>
      </c>
      <c r="G87" s="5" t="s">
        <v>107</v>
      </c>
      <c r="H87" s="4" t="s">
        <v>1215</v>
      </c>
      <c r="I87" s="10" t="s">
        <v>147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16"/>
    </row>
    <row r="98" spans="2:7" ht="15.75" thickBot="1"/>
    <row r="99" spans="2:7">
      <c r="B99" s="417" t="s">
        <v>1279</v>
      </c>
      <c r="C99" s="418"/>
      <c r="D99" s="418"/>
      <c r="E99" s="418"/>
      <c r="F99" s="418"/>
      <c r="G99" s="419"/>
    </row>
    <row r="100" spans="2:7" ht="15.75" thickBot="1">
      <c r="B100" s="420"/>
      <c r="C100" s="421"/>
      <c r="D100" s="421"/>
      <c r="E100" s="421"/>
      <c r="F100" s="421"/>
      <c r="G100" s="422"/>
    </row>
  </sheetData>
  <dataConsolidate/>
  <mergeCells count="1">
    <mergeCell ref="B99:G100"/>
  </mergeCells>
  <phoneticPr fontId="29" type="noConversion"/>
  <dataValidations count="1">
    <dataValidation type="list" allowBlank="1" showInputMessage="1" showErrorMessage="1" sqref="F3:F87" xr:uid="{64ECDD93-AD25-4AFB-BB2C-08E481BBC7DA}">
      <formula1>"Connected product, Edge control, Analytics,"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E321-C388-4583-B7A3-83D2442E3878}">
  <dimension ref="A2:DE35"/>
  <sheetViews>
    <sheetView workbookViewId="0">
      <selection activeCell="F31" sqref="F31"/>
    </sheetView>
  </sheetViews>
  <sheetFormatPr baseColWidth="10" defaultColWidth="8.85546875" defaultRowHeight="15"/>
  <cols>
    <col min="1" max="3" width="8.85546875" style="313"/>
    <col min="4" max="4" width="34.42578125" style="313" bestFit="1" customWidth="1"/>
    <col min="5" max="5" width="7.5703125" style="313" customWidth="1"/>
    <col min="6" max="8" width="8.85546875" style="313"/>
    <col min="9" max="9" width="16.42578125" style="313" customWidth="1"/>
    <col min="10" max="10" width="18.140625" style="313" customWidth="1"/>
    <col min="11" max="11" width="59.28515625" style="313" customWidth="1"/>
    <col min="12" max="12" width="40.140625" style="313" customWidth="1"/>
    <col min="13" max="16384" width="8.85546875" style="313"/>
  </cols>
  <sheetData>
    <row r="2" spans="1:35">
      <c r="A2" s="78"/>
      <c r="B2" s="9"/>
      <c r="C2" s="423" t="s">
        <v>1280</v>
      </c>
      <c r="D2" s="423"/>
      <c r="E2" s="9"/>
      <c r="F2" s="9"/>
      <c r="G2" s="9"/>
      <c r="H2" s="9"/>
      <c r="I2" s="9"/>
      <c r="J2" s="9"/>
      <c r="K2" s="9"/>
      <c r="L2" s="9"/>
      <c r="M2" s="7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 spans="1:35">
      <c r="A3" s="78"/>
      <c r="B3" s="183" t="s">
        <v>97</v>
      </c>
      <c r="C3" s="184" t="s">
        <v>97</v>
      </c>
      <c r="D3" s="170" t="s">
        <v>1281</v>
      </c>
      <c r="E3" s="170" t="s">
        <v>1282</v>
      </c>
      <c r="F3" s="185"/>
      <c r="G3" s="186"/>
      <c r="H3" s="187" t="s">
        <v>101</v>
      </c>
      <c r="I3" s="185" t="s">
        <v>1283</v>
      </c>
      <c r="J3" s="185" t="s">
        <v>107</v>
      </c>
      <c r="K3" s="185"/>
      <c r="L3" s="170" t="s">
        <v>103</v>
      </c>
      <c r="M3" s="172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</row>
    <row r="4" spans="1:35">
      <c r="A4" s="78"/>
      <c r="B4" s="183" t="s">
        <v>97</v>
      </c>
      <c r="C4" s="184" t="s">
        <v>97</v>
      </c>
      <c r="D4" s="170" t="s">
        <v>1284</v>
      </c>
      <c r="E4" s="170" t="s">
        <v>1282</v>
      </c>
      <c r="F4" s="185" t="s">
        <v>40</v>
      </c>
      <c r="G4" s="186" t="s">
        <v>964</v>
      </c>
      <c r="H4" s="187" t="s">
        <v>101</v>
      </c>
      <c r="I4" s="185" t="s">
        <v>1283</v>
      </c>
      <c r="J4" s="185" t="s">
        <v>965</v>
      </c>
      <c r="K4" s="185"/>
      <c r="L4" s="170" t="s">
        <v>103</v>
      </c>
      <c r="M4" s="172"/>
      <c r="N4" s="184"/>
      <c r="O4" s="184"/>
      <c r="P4" s="184"/>
      <c r="Q4" s="172"/>
      <c r="R4" s="184"/>
      <c r="S4" s="184"/>
      <c r="T4" s="172"/>
      <c r="U4" s="172"/>
      <c r="V4" s="184"/>
      <c r="W4" s="172"/>
      <c r="X4" s="184"/>
      <c r="Y4" s="184"/>
      <c r="Z4" s="184"/>
      <c r="AA4" s="184"/>
      <c r="AB4" s="172"/>
      <c r="AC4" s="184"/>
      <c r="AD4" s="184"/>
      <c r="AE4" s="184"/>
      <c r="AF4" s="184"/>
      <c r="AG4" s="184"/>
      <c r="AH4" s="172"/>
      <c r="AI4" s="184"/>
    </row>
    <row r="5" spans="1:35" s="9" customFormat="1">
      <c r="B5" s="183" t="s">
        <v>97</v>
      </c>
      <c r="C5" s="184" t="s">
        <v>97</v>
      </c>
      <c r="D5" s="170" t="s">
        <v>1285</v>
      </c>
      <c r="E5" s="170" t="s">
        <v>1282</v>
      </c>
      <c r="F5" s="185" t="s">
        <v>40</v>
      </c>
      <c r="G5" s="186" t="s">
        <v>964</v>
      </c>
      <c r="H5" s="187" t="s">
        <v>101</v>
      </c>
      <c r="I5" s="185" t="s">
        <v>1283</v>
      </c>
      <c r="J5" s="185" t="s">
        <v>965</v>
      </c>
      <c r="K5" s="185"/>
      <c r="L5" s="170" t="s">
        <v>103</v>
      </c>
      <c r="M5" s="172"/>
      <c r="N5" s="184"/>
      <c r="O5" s="184"/>
      <c r="P5" s="184"/>
      <c r="Q5" s="172"/>
      <c r="R5" s="184"/>
      <c r="S5" s="184"/>
      <c r="T5" s="172"/>
      <c r="U5" s="172"/>
      <c r="V5" s="184"/>
      <c r="W5" s="172"/>
      <c r="X5" s="184"/>
      <c r="Y5" s="184"/>
      <c r="Z5" s="184"/>
      <c r="AA5" s="184"/>
      <c r="AB5" s="172"/>
      <c r="AC5" s="184"/>
      <c r="AD5" s="184"/>
      <c r="AE5" s="184"/>
      <c r="AF5" s="184"/>
      <c r="AG5" s="184"/>
      <c r="AH5" s="172"/>
      <c r="AI5" s="184"/>
    </row>
    <row r="6" spans="1:35" s="9" customFormat="1">
      <c r="B6" s="183" t="s">
        <v>97</v>
      </c>
      <c r="C6" s="184" t="s">
        <v>97</v>
      </c>
      <c r="D6" s="170" t="s">
        <v>1286</v>
      </c>
      <c r="E6" s="170" t="s">
        <v>1282</v>
      </c>
      <c r="F6" s="185" t="s">
        <v>40</v>
      </c>
      <c r="G6" s="186" t="s">
        <v>964</v>
      </c>
      <c r="H6" s="187" t="s">
        <v>101</v>
      </c>
      <c r="I6" s="185" t="s">
        <v>1283</v>
      </c>
      <c r="J6" s="185" t="s">
        <v>107</v>
      </c>
      <c r="K6" s="185"/>
      <c r="L6" s="170" t="s">
        <v>103</v>
      </c>
      <c r="M6" s="172"/>
      <c r="N6" s="184"/>
      <c r="O6" s="184"/>
      <c r="P6" s="184"/>
      <c r="Q6" s="172"/>
      <c r="R6" s="184"/>
      <c r="S6" s="184"/>
      <c r="T6" s="172"/>
      <c r="U6" s="172"/>
      <c r="V6" s="184"/>
      <c r="W6" s="172"/>
      <c r="X6" s="184"/>
      <c r="Y6" s="184"/>
      <c r="Z6" s="184"/>
      <c r="AA6" s="184"/>
      <c r="AB6" s="172"/>
      <c r="AC6" s="184"/>
      <c r="AD6" s="184"/>
      <c r="AE6" s="184"/>
      <c r="AF6" s="184"/>
      <c r="AG6" s="184"/>
      <c r="AH6" s="172"/>
      <c r="AI6" s="184"/>
    </row>
    <row r="7" spans="1:35" s="9" customFormat="1">
      <c r="B7" s="183" t="s">
        <v>97</v>
      </c>
      <c r="C7" s="184" t="s">
        <v>97</v>
      </c>
      <c r="D7" s="170" t="s">
        <v>1287</v>
      </c>
      <c r="E7" s="170" t="s">
        <v>1057</v>
      </c>
      <c r="F7" s="185" t="s">
        <v>40</v>
      </c>
      <c r="G7" s="186" t="s">
        <v>964</v>
      </c>
      <c r="H7" s="187" t="s">
        <v>101</v>
      </c>
      <c r="I7" s="185" t="s">
        <v>1283</v>
      </c>
      <c r="J7" s="185" t="s">
        <v>107</v>
      </c>
      <c r="K7" s="185"/>
      <c r="L7" s="170" t="s">
        <v>362</v>
      </c>
      <c r="M7" s="172"/>
      <c r="N7" s="172"/>
      <c r="O7" s="172"/>
      <c r="P7" s="172"/>
      <c r="Q7" s="172"/>
      <c r="R7" s="172"/>
      <c r="S7" s="172"/>
      <c r="T7" s="172" t="s">
        <v>105</v>
      </c>
      <c r="U7" s="172"/>
      <c r="V7" s="172"/>
      <c r="W7" s="172"/>
      <c r="X7" s="172"/>
      <c r="Y7" s="172"/>
      <c r="Z7" s="172"/>
      <c r="AA7" s="172"/>
      <c r="AB7" s="172"/>
      <c r="AC7" s="172"/>
      <c r="AD7" s="184"/>
      <c r="AE7" s="184"/>
      <c r="AF7" s="184"/>
      <c r="AG7" s="184"/>
      <c r="AH7" s="172"/>
      <c r="AI7" s="184"/>
    </row>
    <row r="8" spans="1:35" s="9" customFormat="1">
      <c r="B8" s="188" t="s">
        <v>97</v>
      </c>
      <c r="C8" s="189" t="s">
        <v>97</v>
      </c>
      <c r="D8" s="190" t="s">
        <v>1288</v>
      </c>
      <c r="E8" s="190" t="s">
        <v>1054</v>
      </c>
      <c r="F8" s="190" t="s">
        <v>40</v>
      </c>
      <c r="G8" s="190" t="s">
        <v>964</v>
      </c>
      <c r="H8" s="191" t="s">
        <v>101</v>
      </c>
      <c r="I8" s="192" t="s">
        <v>318</v>
      </c>
      <c r="J8" s="193" t="s">
        <v>1080</v>
      </c>
      <c r="K8" s="190"/>
      <c r="L8" s="194" t="s">
        <v>104</v>
      </c>
      <c r="M8" s="195"/>
      <c r="N8" s="195"/>
      <c r="O8" s="195"/>
      <c r="P8" s="195"/>
      <c r="Q8" s="195"/>
      <c r="R8" s="195"/>
      <c r="S8" s="195"/>
      <c r="T8" s="195" t="s">
        <v>105</v>
      </c>
      <c r="U8" s="195" t="s">
        <v>105</v>
      </c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6"/>
    </row>
    <row r="9" spans="1:35" s="9" customFormat="1">
      <c r="B9" s="188" t="s">
        <v>97</v>
      </c>
      <c r="C9" s="189" t="s">
        <v>97</v>
      </c>
      <c r="D9" s="190" t="s">
        <v>1289</v>
      </c>
      <c r="E9" s="190" t="s">
        <v>1054</v>
      </c>
      <c r="F9" s="190" t="s">
        <v>40</v>
      </c>
      <c r="G9" s="190" t="s">
        <v>964</v>
      </c>
      <c r="H9" s="191" t="s">
        <v>101</v>
      </c>
      <c r="I9" s="192" t="s">
        <v>318</v>
      </c>
      <c r="J9" s="193" t="s">
        <v>1080</v>
      </c>
      <c r="K9" s="190"/>
      <c r="L9" s="194" t="s">
        <v>1290</v>
      </c>
      <c r="M9" s="195"/>
      <c r="N9" s="195"/>
      <c r="O9" s="195"/>
      <c r="P9" s="195"/>
      <c r="Q9" s="195"/>
      <c r="R9" s="195"/>
      <c r="S9" s="195"/>
      <c r="T9" s="195" t="s">
        <v>105</v>
      </c>
      <c r="U9" s="195" t="s">
        <v>105</v>
      </c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6"/>
    </row>
    <row r="10" spans="1:35" s="197" customFormat="1">
      <c r="B10" s="198" t="s">
        <v>97</v>
      </c>
      <c r="C10" s="34" t="s">
        <v>97</v>
      </c>
      <c r="D10" s="64" t="s">
        <v>1291</v>
      </c>
      <c r="E10" s="64" t="s">
        <v>1292</v>
      </c>
      <c r="F10" s="199" t="s">
        <v>40</v>
      </c>
      <c r="G10" s="97" t="s">
        <v>964</v>
      </c>
      <c r="H10" s="13" t="s">
        <v>101</v>
      </c>
      <c r="I10" s="199" t="s">
        <v>318</v>
      </c>
      <c r="J10" s="199" t="s">
        <v>107</v>
      </c>
      <c r="K10" s="64" t="s">
        <v>1293</v>
      </c>
      <c r="L10" s="13" t="s">
        <v>1294</v>
      </c>
      <c r="M10" s="34"/>
      <c r="N10" s="34"/>
      <c r="O10" s="34"/>
      <c r="P10" s="34"/>
      <c r="Q10" s="31"/>
      <c r="R10" s="34"/>
      <c r="S10" s="34"/>
      <c r="T10" s="31"/>
      <c r="U10" s="31"/>
      <c r="V10" s="34"/>
      <c r="W10" s="31"/>
      <c r="X10" s="34"/>
      <c r="Y10" s="34"/>
      <c r="Z10" s="34"/>
      <c r="AA10" s="34"/>
      <c r="AB10" s="31"/>
      <c r="AC10" s="34"/>
      <c r="AD10" s="34"/>
      <c r="AE10" s="34"/>
      <c r="AF10" s="34"/>
      <c r="AG10" s="34"/>
      <c r="AH10" s="31"/>
      <c r="AI10" s="59"/>
    </row>
    <row r="11" spans="1:35" s="197" customFormat="1">
      <c r="B11" s="198" t="s">
        <v>96</v>
      </c>
      <c r="C11" s="34" t="s">
        <v>97</v>
      </c>
      <c r="D11" s="64" t="s">
        <v>1295</v>
      </c>
      <c r="E11" s="64" t="s">
        <v>1057</v>
      </c>
      <c r="F11" s="199" t="s">
        <v>40</v>
      </c>
      <c r="G11" s="97" t="s">
        <v>964</v>
      </c>
      <c r="H11" s="13" t="s">
        <v>101</v>
      </c>
      <c r="I11" s="199" t="s">
        <v>318</v>
      </c>
      <c r="J11" s="199" t="s">
        <v>107</v>
      </c>
      <c r="K11" s="199"/>
      <c r="L11" s="64" t="s">
        <v>103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4"/>
      <c r="AE11" s="34"/>
      <c r="AF11" s="34"/>
      <c r="AG11" s="34"/>
      <c r="AH11" s="31"/>
      <c r="AI11" s="59"/>
    </row>
    <row r="12" spans="1:35" s="9" customFormat="1">
      <c r="M12" s="78"/>
    </row>
    <row r="13" spans="1:35">
      <c r="C13" s="423" t="s">
        <v>1296</v>
      </c>
      <c r="D13" s="423"/>
    </row>
    <row r="14" spans="1:35">
      <c r="B14" s="314" t="s">
        <v>97</v>
      </c>
      <c r="C14" s="314" t="s">
        <v>97</v>
      </c>
      <c r="D14" s="13" t="s">
        <v>1297</v>
      </c>
      <c r="E14" s="13"/>
      <c r="F14" s="97"/>
      <c r="G14" s="64"/>
      <c r="H14" s="64"/>
      <c r="I14" s="97"/>
      <c r="J14" s="97"/>
      <c r="K14" s="97" t="s">
        <v>1298</v>
      </c>
      <c r="L14" s="13" t="s">
        <v>360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</row>
    <row r="15" spans="1:35">
      <c r="B15" s="314" t="s">
        <v>97</v>
      </c>
      <c r="C15" s="314" t="s">
        <v>97</v>
      </c>
      <c r="D15" s="33" t="s">
        <v>1299</v>
      </c>
      <c r="E15" s="33"/>
      <c r="F15" s="91"/>
      <c r="G15" s="315"/>
      <c r="H15" s="315"/>
      <c r="I15" s="91"/>
      <c r="J15" s="91"/>
      <c r="K15" s="97" t="s">
        <v>1298</v>
      </c>
      <c r="L15" s="33" t="s">
        <v>1300</v>
      </c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</row>
    <row r="16" spans="1:35">
      <c r="B16" s="316"/>
      <c r="C16" s="316"/>
      <c r="D16" s="239"/>
      <c r="E16" s="239"/>
      <c r="F16" s="79"/>
      <c r="G16" s="9"/>
      <c r="H16" s="9"/>
      <c r="I16" s="79"/>
      <c r="J16" s="79"/>
      <c r="K16" s="79"/>
      <c r="L16" s="239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</row>
    <row r="17" spans="1:109">
      <c r="B17" s="316"/>
      <c r="C17" s="316"/>
      <c r="D17" s="239"/>
      <c r="E17" s="239"/>
      <c r="F17" s="79"/>
      <c r="G17" s="9"/>
      <c r="H17" s="9"/>
      <c r="I17" s="79"/>
      <c r="J17" s="79"/>
      <c r="K17" s="79"/>
      <c r="L17" s="239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</row>
    <row r="18" spans="1:109">
      <c r="B18" s="78"/>
      <c r="C18" s="317" t="s">
        <v>97</v>
      </c>
      <c r="D18" s="236" t="s">
        <v>97</v>
      </c>
      <c r="E18" s="237" t="s">
        <v>1301</v>
      </c>
      <c r="F18" s="237" t="s">
        <v>1104</v>
      </c>
      <c r="G18" s="318" t="s">
        <v>17</v>
      </c>
      <c r="H18" s="319" t="s">
        <v>11</v>
      </c>
      <c r="I18" s="319" t="s">
        <v>145</v>
      </c>
      <c r="J18" s="320" t="s">
        <v>102</v>
      </c>
      <c r="K18" s="320" t="s">
        <v>107</v>
      </c>
      <c r="L18" s="320" t="s">
        <v>1302</v>
      </c>
      <c r="M18" s="237" t="s">
        <v>147</v>
      </c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</row>
    <row r="19" spans="1:109">
      <c r="B19" s="198" t="s">
        <v>97</v>
      </c>
      <c r="C19" s="31" t="s">
        <v>97</v>
      </c>
      <c r="D19" s="181" t="s">
        <v>1303</v>
      </c>
      <c r="E19" s="97" t="s">
        <v>1304</v>
      </c>
      <c r="F19" s="34" t="s">
        <v>17</v>
      </c>
      <c r="G19" s="64" t="s">
        <v>11</v>
      </c>
      <c r="H19" s="64" t="s">
        <v>101</v>
      </c>
      <c r="I19" s="97" t="s">
        <v>112</v>
      </c>
      <c r="J19" s="97" t="s">
        <v>107</v>
      </c>
      <c r="K19" s="97" t="s">
        <v>1110</v>
      </c>
      <c r="L19" s="13" t="s">
        <v>594</v>
      </c>
      <c r="M19" s="34"/>
      <c r="N19" s="34"/>
      <c r="O19" s="34"/>
      <c r="P19" s="34"/>
      <c r="Q19" s="34"/>
      <c r="R19" s="34"/>
      <c r="S19" s="34" t="s">
        <v>105</v>
      </c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59"/>
    </row>
    <row r="20" spans="1:109">
      <c r="B20" s="198" t="s">
        <v>96</v>
      </c>
      <c r="C20" s="31" t="s">
        <v>97</v>
      </c>
      <c r="D20" s="321" t="s">
        <v>1305</v>
      </c>
      <c r="E20" s="97" t="s">
        <v>1306</v>
      </c>
      <c r="F20" s="34" t="s">
        <v>17</v>
      </c>
      <c r="G20" s="64" t="s">
        <v>11</v>
      </c>
      <c r="H20" s="64" t="s">
        <v>101</v>
      </c>
      <c r="I20" s="97" t="s">
        <v>112</v>
      </c>
      <c r="J20" s="97" t="s">
        <v>107</v>
      </c>
      <c r="K20" s="97" t="s">
        <v>1110</v>
      </c>
      <c r="L20" s="13" t="s">
        <v>1307</v>
      </c>
      <c r="M20" s="34" t="s">
        <v>105</v>
      </c>
      <c r="N20" s="34"/>
      <c r="O20" s="34"/>
      <c r="P20" s="34"/>
      <c r="Q20" s="34"/>
      <c r="R20" s="34"/>
      <c r="S20" s="34" t="s">
        <v>105</v>
      </c>
      <c r="T20" s="34"/>
      <c r="U20" s="34"/>
      <c r="V20" s="34"/>
      <c r="W20" s="34"/>
      <c r="X20" s="34"/>
      <c r="Y20" s="34"/>
      <c r="Z20" s="34" t="s">
        <v>105</v>
      </c>
      <c r="AA20" s="34"/>
      <c r="AB20" s="34"/>
      <c r="AC20" s="34"/>
      <c r="AD20" s="34"/>
      <c r="AE20" s="34"/>
      <c r="AF20" s="34"/>
      <c r="AG20" s="34"/>
      <c r="AH20" s="59"/>
    </row>
    <row r="21" spans="1:109">
      <c r="B21" s="198" t="s">
        <v>96</v>
      </c>
      <c r="C21" s="31" t="s">
        <v>96</v>
      </c>
      <c r="D21" s="181" t="s">
        <v>1308</v>
      </c>
      <c r="E21" s="13" t="s">
        <v>1309</v>
      </c>
      <c r="F21" s="34" t="s">
        <v>17</v>
      </c>
      <c r="G21" s="64" t="s">
        <v>11</v>
      </c>
      <c r="H21" s="13" t="s">
        <v>101</v>
      </c>
      <c r="I21" s="97" t="s">
        <v>112</v>
      </c>
      <c r="J21" s="97" t="s">
        <v>107</v>
      </c>
      <c r="K21" s="97" t="s">
        <v>1110</v>
      </c>
      <c r="L21" s="13" t="s">
        <v>1310</v>
      </c>
      <c r="M21" s="34"/>
      <c r="N21" s="34"/>
      <c r="O21" s="34"/>
      <c r="P21" s="34" t="s">
        <v>105</v>
      </c>
      <c r="Q21" s="34"/>
      <c r="R21" s="34"/>
      <c r="S21" s="34"/>
      <c r="T21" s="34" t="s">
        <v>105</v>
      </c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59"/>
    </row>
    <row r="22" spans="1:109">
      <c r="B22" s="198" t="s">
        <v>96</v>
      </c>
      <c r="C22" s="31" t="s">
        <v>97</v>
      </c>
      <c r="D22" s="321" t="s">
        <v>1311</v>
      </c>
      <c r="E22" s="97" t="s">
        <v>1312</v>
      </c>
      <c r="F22" s="34" t="s">
        <v>17</v>
      </c>
      <c r="G22" s="64" t="s">
        <v>11</v>
      </c>
      <c r="H22" s="13" t="s">
        <v>101</v>
      </c>
      <c r="I22" s="97" t="s">
        <v>112</v>
      </c>
      <c r="J22" s="97" t="s">
        <v>107</v>
      </c>
      <c r="K22" s="97" t="s">
        <v>1110</v>
      </c>
      <c r="L22" s="13" t="s">
        <v>1313</v>
      </c>
      <c r="M22" s="34"/>
      <c r="N22" s="34"/>
      <c r="O22" s="34"/>
      <c r="P22" s="34"/>
      <c r="Q22" s="34"/>
      <c r="R22" s="34"/>
      <c r="S22" s="34" t="s">
        <v>105</v>
      </c>
      <c r="T22" s="34" t="s">
        <v>105</v>
      </c>
      <c r="U22" s="34"/>
      <c r="V22" s="34"/>
      <c r="W22" s="34"/>
      <c r="X22" s="34"/>
      <c r="Y22" s="34"/>
      <c r="Z22" s="34" t="s">
        <v>105</v>
      </c>
      <c r="AA22" s="34"/>
      <c r="AB22" s="34"/>
      <c r="AC22" s="34"/>
      <c r="AD22" s="34"/>
      <c r="AE22" s="34"/>
      <c r="AF22" s="34"/>
      <c r="AG22" s="34"/>
      <c r="AH22" s="59"/>
    </row>
    <row r="23" spans="1:109">
      <c r="B23" s="322" t="s">
        <v>96</v>
      </c>
      <c r="C23" s="117" t="s">
        <v>97</v>
      </c>
      <c r="D23" s="118" t="s">
        <v>1314</v>
      </c>
      <c r="E23" s="33"/>
      <c r="F23" s="91"/>
      <c r="G23" s="315"/>
      <c r="H23" s="315"/>
      <c r="I23" s="91"/>
      <c r="J23" s="91"/>
      <c r="K23" s="91"/>
      <c r="L23" s="33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230"/>
    </row>
    <row r="24" spans="1:109">
      <c r="B24" s="322"/>
      <c r="C24" s="323"/>
      <c r="D24" s="33" t="s">
        <v>1315</v>
      </c>
      <c r="E24" s="33"/>
      <c r="F24" s="91"/>
      <c r="G24" s="315"/>
      <c r="H24" s="315"/>
      <c r="I24" s="91"/>
      <c r="J24" s="91"/>
      <c r="K24" s="91"/>
      <c r="L24" s="33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230"/>
    </row>
    <row r="26" spans="1:109" s="80" customFormat="1">
      <c r="A26" s="313"/>
      <c r="B26" s="31" t="s">
        <v>97</v>
      </c>
      <c r="C26" s="324" t="s">
        <v>97</v>
      </c>
      <c r="D26" s="97" t="s">
        <v>1316</v>
      </c>
      <c r="E26" s="97" t="s">
        <v>1317</v>
      </c>
      <c r="F26" s="97" t="s">
        <v>8</v>
      </c>
      <c r="G26" s="97" t="s">
        <v>6</v>
      </c>
      <c r="H26" s="199" t="s">
        <v>145</v>
      </c>
      <c r="I26" s="97" t="s">
        <v>119</v>
      </c>
      <c r="J26" s="97" t="s">
        <v>107</v>
      </c>
      <c r="K26" s="199" t="s">
        <v>146</v>
      </c>
      <c r="L26" s="97" t="s">
        <v>147</v>
      </c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  <c r="AC26" s="199"/>
      <c r="AD26" s="199"/>
      <c r="AE26" s="199"/>
      <c r="AF26" s="199"/>
      <c r="AG26" s="199"/>
      <c r="AH26" s="325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79"/>
      <c r="BP26" s="79"/>
      <c r="BQ26" s="79"/>
      <c r="BR26" s="79"/>
      <c r="BS26" s="79"/>
      <c r="BT26" s="79"/>
      <c r="BU26" s="79"/>
      <c r="BV26" s="79"/>
      <c r="BW26" s="79"/>
      <c r="BX26" s="79"/>
      <c r="BY26" s="79"/>
      <c r="BZ26" s="79"/>
      <c r="CA26" s="79"/>
      <c r="CB26" s="79"/>
      <c r="CC26" s="79"/>
      <c r="CD26" s="79"/>
      <c r="CE26" s="79"/>
      <c r="CF26" s="79"/>
      <c r="CG26" s="79"/>
      <c r="CH26" s="79"/>
      <c r="CI26" s="79"/>
      <c r="CJ26" s="79"/>
      <c r="CK26" s="79"/>
      <c r="CL26" s="79"/>
      <c r="CM26" s="79"/>
      <c r="CN26" s="79"/>
      <c r="CO26" s="79"/>
      <c r="CP26" s="79"/>
      <c r="CQ26" s="79"/>
      <c r="CR26" s="79"/>
      <c r="CS26" s="79"/>
      <c r="CT26" s="79"/>
      <c r="CU26" s="79"/>
      <c r="CV26" s="79"/>
      <c r="CW26" s="79"/>
      <c r="CX26" s="79"/>
      <c r="CY26" s="79"/>
      <c r="CZ26" s="79"/>
      <c r="DA26" s="79"/>
      <c r="DB26" s="79"/>
      <c r="DC26" s="79"/>
      <c r="DD26" s="79"/>
      <c r="DE26" s="79"/>
    </row>
    <row r="29" spans="1:109" s="9" customFormat="1">
      <c r="A29" s="78"/>
      <c r="B29" s="78"/>
      <c r="C29" s="9" t="s">
        <v>1328</v>
      </c>
    </row>
    <row r="30" spans="1:109" s="9" customFormat="1">
      <c r="A30" s="322" t="s">
        <v>96</v>
      </c>
      <c r="B30" s="117" t="s">
        <v>97</v>
      </c>
      <c r="C30" s="118" t="s">
        <v>1116</v>
      </c>
      <c r="D30" s="33"/>
      <c r="E30" s="91"/>
      <c r="F30" s="315"/>
      <c r="G30" s="315"/>
      <c r="H30" s="91"/>
      <c r="I30" s="91"/>
      <c r="J30" s="91"/>
      <c r="K30" s="33" t="s">
        <v>1117</v>
      </c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230"/>
    </row>
    <row r="31" spans="1:109" s="9" customFormat="1">
      <c r="A31" s="198" t="s">
        <v>97</v>
      </c>
      <c r="B31" s="31" t="s">
        <v>96</v>
      </c>
      <c r="C31" s="181" t="s">
        <v>1112</v>
      </c>
      <c r="D31" s="13" t="s">
        <v>1031</v>
      </c>
      <c r="E31" s="199" t="s">
        <v>17</v>
      </c>
      <c r="F31" s="97" t="s">
        <v>11</v>
      </c>
      <c r="G31" s="13" t="s">
        <v>101</v>
      </c>
      <c r="H31" s="97" t="s">
        <v>112</v>
      </c>
      <c r="I31" s="97" t="s">
        <v>107</v>
      </c>
      <c r="J31" s="97" t="s">
        <v>1106</v>
      </c>
      <c r="K31" s="13" t="s">
        <v>1113</v>
      </c>
      <c r="L31" s="34" t="s">
        <v>105</v>
      </c>
      <c r="M31" s="34"/>
      <c r="N31" s="34"/>
      <c r="O31" s="34"/>
      <c r="P31" s="34" t="s">
        <v>105</v>
      </c>
      <c r="Q31" s="34"/>
      <c r="R31" s="34" t="s">
        <v>105</v>
      </c>
      <c r="S31" s="34" t="s">
        <v>105</v>
      </c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59"/>
    </row>
    <row r="32" spans="1:109" s="9" customFormat="1">
      <c r="A32" s="322" t="s">
        <v>96</v>
      </c>
      <c r="B32" s="117" t="s">
        <v>97</v>
      </c>
      <c r="C32" s="118" t="s">
        <v>1114</v>
      </c>
      <c r="D32" s="33"/>
      <c r="E32" s="91"/>
      <c r="F32" s="315"/>
      <c r="G32" s="315"/>
      <c r="H32" s="91"/>
      <c r="I32" s="91"/>
      <c r="J32" s="91" t="s">
        <v>1115</v>
      </c>
      <c r="K32" s="33" t="s">
        <v>360</v>
      </c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230"/>
    </row>
    <row r="34" spans="1:33" s="9" customFormat="1">
      <c r="A34" s="78"/>
      <c r="B34" s="78"/>
      <c r="C34" s="302" t="s">
        <v>1329</v>
      </c>
    </row>
    <row r="35" spans="1:33" s="9" customFormat="1">
      <c r="A35" s="322" t="s">
        <v>96</v>
      </c>
      <c r="B35" s="117" t="s">
        <v>97</v>
      </c>
      <c r="C35" s="118" t="s">
        <v>1118</v>
      </c>
      <c r="D35" s="33"/>
      <c r="E35" s="91"/>
      <c r="F35" s="315"/>
      <c r="G35" s="315"/>
      <c r="H35" s="91"/>
      <c r="I35" s="91"/>
      <c r="J35" s="91"/>
      <c r="K35" s="33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230"/>
    </row>
  </sheetData>
  <mergeCells count="2">
    <mergeCell ref="C2:D2"/>
    <mergeCell ref="C13:D13"/>
  </mergeCells>
  <phoneticPr fontId="29" type="noConversion"/>
  <conditionalFormatting sqref="B12 B2 D8:D11">
    <cfRule type="duplicateValues" dxfId="10" priority="8"/>
  </conditionalFormatting>
  <conditionalFormatting sqref="B12">
    <cfRule type="duplicateValues" dxfId="9" priority="9"/>
  </conditionalFormatting>
  <conditionalFormatting sqref="B18 D14:D15 B24 E18 D19:D24">
    <cfRule type="duplicateValues" dxfId="8" priority="5"/>
  </conditionalFormatting>
  <conditionalFormatting sqref="C30:C32">
    <cfRule type="duplicateValues" dxfId="7" priority="2"/>
  </conditionalFormatting>
  <conditionalFormatting sqref="C35">
    <cfRule type="duplicateValues" dxfId="6" priority="1"/>
  </conditionalFormatting>
  <conditionalFormatting sqref="D3:D7">
    <cfRule type="duplicateValues" dxfId="5" priority="6"/>
    <cfRule type="duplicateValues" dxfId="4" priority="7"/>
  </conditionalFormatting>
  <conditionalFormatting sqref="D26">
    <cfRule type="duplicateValues" dxfId="3" priority="3"/>
    <cfRule type="duplicateValues" dxfId="2" priority="4"/>
  </conditionalFormatting>
  <dataValidations count="1">
    <dataValidation type="list" allowBlank="1" showInputMessage="1" showErrorMessage="1" sqref="I6:I7 I19:I22 H26 H31" xr:uid="{C4E3E448-B0D1-4F10-96A5-41C95B1B25F4}">
      <formula1>"Connected product, Edge control, Analytics,"</formula1>
    </dataValidation>
  </dataValidation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F176-56AD-438A-8215-6C1F35D7ADB4}">
  <dimension ref="A2:AK77"/>
  <sheetViews>
    <sheetView topLeftCell="A22" workbookViewId="0">
      <selection activeCell="H42" sqref="H42"/>
    </sheetView>
  </sheetViews>
  <sheetFormatPr baseColWidth="10" defaultColWidth="9.140625" defaultRowHeight="15"/>
  <sheetData>
    <row r="2" spans="1:37" s="9" customFormat="1">
      <c r="A2" s="301"/>
      <c r="B2" s="301"/>
      <c r="C2" s="301"/>
      <c r="D2" s="301"/>
      <c r="E2" s="89"/>
      <c r="F2" s="106"/>
      <c r="G2" s="106"/>
      <c r="H2" s="106"/>
      <c r="I2" s="301"/>
      <c r="J2" s="89"/>
      <c r="K2" s="89"/>
      <c r="L2" s="106"/>
      <c r="M2" s="89"/>
      <c r="N2" s="106"/>
      <c r="O2" s="106"/>
      <c r="P2" s="106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93"/>
      <c r="AK2" s="167" t="s">
        <v>662</v>
      </c>
    </row>
    <row r="3" spans="1:37" s="9" customFormat="1" ht="90">
      <c r="A3" s="301"/>
      <c r="B3" s="301"/>
      <c r="C3" s="301"/>
      <c r="D3" s="301"/>
      <c r="E3" s="131" t="s">
        <v>838</v>
      </c>
      <c r="F3" s="106"/>
      <c r="G3" s="106"/>
      <c r="H3" s="106"/>
      <c r="I3" s="301"/>
      <c r="J3" s="89"/>
      <c r="K3" s="89"/>
      <c r="L3" s="106"/>
      <c r="M3" s="89"/>
      <c r="N3" s="106"/>
      <c r="O3" s="106"/>
      <c r="P3" s="106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93"/>
      <c r="AK3" s="1" t="s">
        <v>662</v>
      </c>
    </row>
    <row r="4" spans="1:37" s="9" customFormat="1">
      <c r="A4" s="301"/>
      <c r="B4" s="301"/>
      <c r="C4" s="301"/>
      <c r="D4" s="301"/>
      <c r="E4" s="89"/>
      <c r="F4" s="106"/>
      <c r="G4" s="106"/>
      <c r="H4" s="106"/>
      <c r="I4" s="301"/>
      <c r="J4" s="89"/>
      <c r="K4" s="89"/>
      <c r="L4" s="106"/>
      <c r="M4" s="89"/>
      <c r="N4" s="106"/>
      <c r="O4" s="106"/>
      <c r="P4" s="106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93"/>
      <c r="AK4" s="167" t="s">
        <v>662</v>
      </c>
    </row>
    <row r="5" spans="1:37" s="9" customFormat="1" ht="90">
      <c r="A5" s="301"/>
      <c r="B5" s="301"/>
      <c r="C5" s="301"/>
      <c r="D5" s="301"/>
      <c r="E5" s="89" t="s">
        <v>839</v>
      </c>
      <c r="F5" s="106"/>
      <c r="G5" s="106"/>
      <c r="H5" s="106"/>
      <c r="I5" s="301"/>
      <c r="J5" s="89"/>
      <c r="K5" s="89"/>
      <c r="L5" s="106"/>
      <c r="M5" s="89"/>
      <c r="N5" s="106"/>
      <c r="O5" s="106"/>
      <c r="P5" s="106"/>
      <c r="Q5" s="301"/>
      <c r="R5" s="301"/>
      <c r="S5" s="301"/>
      <c r="T5" s="301"/>
      <c r="U5" s="301"/>
      <c r="V5" s="301"/>
      <c r="W5" s="301"/>
      <c r="X5" s="301"/>
      <c r="Y5" s="301"/>
      <c r="Z5" s="301"/>
      <c r="AA5" s="301"/>
      <c r="AB5" s="301"/>
      <c r="AC5" s="301"/>
      <c r="AD5" s="301"/>
      <c r="AE5" s="301"/>
      <c r="AF5" s="301"/>
      <c r="AG5" s="301"/>
      <c r="AH5" s="93"/>
      <c r="AK5" s="1" t="s">
        <v>662</v>
      </c>
    </row>
    <row r="6" spans="1:37" s="9" customFormat="1" ht="30">
      <c r="A6" s="301"/>
      <c r="B6" s="301"/>
      <c r="C6" s="301"/>
      <c r="D6" s="301"/>
      <c r="E6" s="89"/>
      <c r="F6" s="106"/>
      <c r="G6" s="106"/>
      <c r="H6" s="254" t="s">
        <v>840</v>
      </c>
      <c r="I6" s="301"/>
      <c r="J6" s="255" t="s">
        <v>841</v>
      </c>
      <c r="K6" s="89"/>
      <c r="L6" s="106"/>
      <c r="M6" s="89"/>
      <c r="N6" s="106"/>
      <c r="O6" s="106"/>
      <c r="P6" s="106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1"/>
      <c r="AB6" s="301"/>
      <c r="AC6" s="301"/>
      <c r="AD6" s="301"/>
      <c r="AE6" s="301"/>
      <c r="AF6" s="301"/>
      <c r="AG6" s="301"/>
      <c r="AH6" s="93"/>
      <c r="AK6" s="167" t="s">
        <v>662</v>
      </c>
    </row>
    <row r="7" spans="1:37" s="9" customFormat="1" ht="30">
      <c r="A7" s="301"/>
      <c r="B7" s="301"/>
      <c r="C7" s="301"/>
      <c r="D7" s="301"/>
      <c r="E7" s="169" t="s">
        <v>842</v>
      </c>
      <c r="F7" s="106"/>
      <c r="G7" s="106"/>
      <c r="H7" s="252" t="s">
        <v>843</v>
      </c>
      <c r="I7" s="253" t="s">
        <v>29</v>
      </c>
      <c r="J7" s="256" t="s">
        <v>844</v>
      </c>
      <c r="K7" s="257" t="s">
        <v>29</v>
      </c>
      <c r="L7" s="106"/>
      <c r="M7" s="89"/>
      <c r="N7" s="106"/>
      <c r="O7" s="106"/>
      <c r="P7" s="106"/>
      <c r="Q7" s="301"/>
      <c r="R7" s="301"/>
      <c r="S7" s="301"/>
      <c r="T7" s="301"/>
      <c r="U7" s="301"/>
      <c r="V7" s="301"/>
      <c r="W7" s="301"/>
      <c r="X7" s="301"/>
      <c r="Y7" s="301"/>
      <c r="Z7" s="301"/>
      <c r="AA7" s="301"/>
      <c r="AB7" s="301"/>
      <c r="AC7" s="301"/>
      <c r="AD7" s="301"/>
      <c r="AE7" s="301"/>
      <c r="AF7" s="301"/>
      <c r="AG7" s="301"/>
      <c r="AH7" s="93"/>
      <c r="AK7" s="1" t="s">
        <v>662</v>
      </c>
    </row>
    <row r="8" spans="1:37" s="9" customFormat="1" ht="45">
      <c r="A8" s="301"/>
      <c r="B8" s="301"/>
      <c r="C8" s="301"/>
      <c r="D8" s="301"/>
      <c r="E8" s="89" t="s">
        <v>845</v>
      </c>
      <c r="F8" s="106" t="s">
        <v>846</v>
      </c>
      <c r="G8" s="106" t="s">
        <v>847</v>
      </c>
      <c r="H8" s="106" t="s">
        <v>848</v>
      </c>
      <c r="I8" s="106" t="s">
        <v>849</v>
      </c>
      <c r="J8" s="258" t="s">
        <v>850</v>
      </c>
      <c r="K8" s="89" t="s">
        <v>849</v>
      </c>
      <c r="L8" s="106"/>
      <c r="M8" s="89"/>
      <c r="N8" s="106"/>
      <c r="O8" s="106"/>
      <c r="P8" s="106"/>
      <c r="Q8" s="301"/>
      <c r="R8" s="301"/>
      <c r="S8" s="301"/>
      <c r="T8" s="301"/>
      <c r="U8" s="301"/>
      <c r="V8" s="301"/>
      <c r="W8" s="301"/>
      <c r="X8" s="301"/>
      <c r="Y8" s="301"/>
      <c r="Z8" s="301"/>
      <c r="AA8" s="301"/>
      <c r="AB8" s="301"/>
      <c r="AC8" s="301"/>
      <c r="AD8" s="301"/>
      <c r="AE8" s="301"/>
      <c r="AF8" s="301"/>
      <c r="AG8" s="301"/>
      <c r="AH8" s="93"/>
      <c r="AK8" s="167" t="s">
        <v>662</v>
      </c>
    </row>
    <row r="9" spans="1:37" s="9" customFormat="1" ht="45">
      <c r="A9" s="301"/>
      <c r="B9" s="301"/>
      <c r="C9" s="301"/>
      <c r="D9" s="301"/>
      <c r="E9" s="89" t="s">
        <v>851</v>
      </c>
      <c r="F9" s="106" t="s">
        <v>852</v>
      </c>
      <c r="G9" s="106" t="s">
        <v>853</v>
      </c>
      <c r="H9" s="106" t="s">
        <v>854</v>
      </c>
      <c r="I9" s="106" t="s">
        <v>849</v>
      </c>
      <c r="J9" s="258" t="s">
        <v>855</v>
      </c>
      <c r="K9" s="89" t="s">
        <v>849</v>
      </c>
      <c r="L9" s="106"/>
      <c r="M9" s="89"/>
      <c r="N9" s="106"/>
      <c r="O9" s="106"/>
      <c r="P9" s="106"/>
      <c r="Q9" s="301"/>
      <c r="R9" s="301"/>
      <c r="S9" s="301"/>
      <c r="T9" s="301"/>
      <c r="U9" s="301"/>
      <c r="V9" s="301"/>
      <c r="W9" s="301"/>
      <c r="X9" s="301"/>
      <c r="Y9" s="301"/>
      <c r="Z9" s="301"/>
      <c r="AA9" s="301"/>
      <c r="AB9" s="301"/>
      <c r="AC9" s="301"/>
      <c r="AD9" s="301"/>
      <c r="AE9" s="301"/>
      <c r="AF9" s="301"/>
      <c r="AG9" s="301"/>
      <c r="AH9" s="93"/>
      <c r="AK9" s="1" t="s">
        <v>662</v>
      </c>
    </row>
    <row r="10" spans="1:37" s="9" customFormat="1" ht="60">
      <c r="A10" s="301"/>
      <c r="B10" s="301"/>
      <c r="C10" s="301"/>
      <c r="D10" s="301"/>
      <c r="E10" s="89" t="s">
        <v>856</v>
      </c>
      <c r="F10" s="106" t="s">
        <v>857</v>
      </c>
      <c r="G10" s="106" t="s">
        <v>858</v>
      </c>
      <c r="H10" s="106" t="s">
        <v>859</v>
      </c>
      <c r="I10" s="106" t="s">
        <v>849</v>
      </c>
      <c r="J10" s="258" t="s">
        <v>860</v>
      </c>
      <c r="K10" s="89" t="s">
        <v>849</v>
      </c>
      <c r="L10" s="106"/>
      <c r="M10" s="89"/>
      <c r="N10" s="106"/>
      <c r="O10" s="106"/>
      <c r="P10" s="106"/>
      <c r="Q10" s="301"/>
      <c r="R10" s="301"/>
      <c r="S10" s="301"/>
      <c r="T10" s="301"/>
      <c r="U10" s="301"/>
      <c r="V10" s="301"/>
      <c r="W10" s="301"/>
      <c r="X10" s="301"/>
      <c r="Y10" s="301"/>
      <c r="Z10" s="301"/>
      <c r="AA10" s="301"/>
      <c r="AB10" s="301"/>
      <c r="AC10" s="301"/>
      <c r="AD10" s="301"/>
      <c r="AE10" s="301"/>
      <c r="AF10" s="301"/>
      <c r="AG10" s="301"/>
      <c r="AH10" s="93"/>
      <c r="AK10" s="167" t="s">
        <v>662</v>
      </c>
    </row>
    <row r="11" spans="1:37" s="9" customFormat="1">
      <c r="A11" s="301"/>
      <c r="B11" s="301"/>
      <c r="C11" s="301"/>
      <c r="D11" s="301"/>
      <c r="E11" s="89" t="s">
        <v>741</v>
      </c>
      <c r="F11" s="106"/>
      <c r="G11" s="106" t="s">
        <v>861</v>
      </c>
      <c r="H11" s="106" t="s">
        <v>862</v>
      </c>
      <c r="I11" s="106" t="s">
        <v>849</v>
      </c>
      <c r="J11" s="258" t="s">
        <v>863</v>
      </c>
      <c r="K11" s="89" t="s">
        <v>849</v>
      </c>
      <c r="L11" s="106"/>
      <c r="M11" s="89"/>
      <c r="N11" s="106"/>
      <c r="O11" s="106"/>
      <c r="P11" s="106"/>
      <c r="Q11" s="301"/>
      <c r="R11" s="301"/>
      <c r="S11" s="301"/>
      <c r="T11" s="301"/>
      <c r="U11" s="301"/>
      <c r="V11" s="301"/>
      <c r="W11" s="301"/>
      <c r="X11" s="301"/>
      <c r="Y11" s="301"/>
      <c r="Z11" s="301"/>
      <c r="AA11" s="301"/>
      <c r="AB11" s="301"/>
      <c r="AC11" s="301"/>
      <c r="AD11" s="301"/>
      <c r="AE11" s="301"/>
      <c r="AF11" s="301"/>
      <c r="AG11" s="301"/>
      <c r="AH11" s="93"/>
      <c r="AK11" s="1" t="s">
        <v>662</v>
      </c>
    </row>
    <row r="12" spans="1:37" s="9" customFormat="1" ht="30">
      <c r="A12" s="301"/>
      <c r="B12" s="301"/>
      <c r="C12" s="301"/>
      <c r="D12" s="301"/>
      <c r="E12" s="89" t="s">
        <v>864</v>
      </c>
      <c r="F12" s="106"/>
      <c r="G12" s="106"/>
      <c r="H12" s="106" t="s">
        <v>865</v>
      </c>
      <c r="I12" s="106" t="s">
        <v>849</v>
      </c>
      <c r="J12" s="259" t="s">
        <v>866</v>
      </c>
      <c r="K12" s="89" t="s">
        <v>849</v>
      </c>
      <c r="L12" s="106"/>
      <c r="M12" s="89"/>
      <c r="N12" s="106"/>
      <c r="O12" s="106"/>
      <c r="P12" s="106"/>
      <c r="Q12" s="301"/>
      <c r="R12" s="301"/>
      <c r="S12" s="301"/>
      <c r="T12" s="301"/>
      <c r="U12" s="301"/>
      <c r="V12" s="301"/>
      <c r="W12" s="301"/>
      <c r="X12" s="301"/>
      <c r="Y12" s="301"/>
      <c r="Z12" s="301"/>
      <c r="AA12" s="301"/>
      <c r="AB12" s="301"/>
      <c r="AC12" s="301"/>
      <c r="AD12" s="301"/>
      <c r="AE12" s="301"/>
      <c r="AF12" s="301"/>
      <c r="AG12" s="301"/>
      <c r="AH12" s="93"/>
      <c r="AK12" s="167" t="s">
        <v>662</v>
      </c>
    </row>
    <row r="13" spans="1:37" s="9" customFormat="1" ht="30">
      <c r="A13" s="301"/>
      <c r="B13" s="301"/>
      <c r="C13" s="301"/>
      <c r="D13" s="301"/>
      <c r="E13" s="89" t="s">
        <v>702</v>
      </c>
      <c r="F13" s="253" t="s">
        <v>1340</v>
      </c>
      <c r="G13" s="106"/>
      <c r="H13" s="106" t="s">
        <v>867</v>
      </c>
      <c r="I13" s="106" t="s">
        <v>868</v>
      </c>
      <c r="J13" s="259" t="s">
        <v>869</v>
      </c>
      <c r="K13" s="260"/>
      <c r="L13" s="106"/>
      <c r="M13" s="89"/>
      <c r="N13" s="106"/>
      <c r="O13" s="106"/>
      <c r="P13" s="106"/>
      <c r="Q13" s="301"/>
      <c r="R13" s="301"/>
      <c r="S13" s="301"/>
      <c r="T13" s="301"/>
      <c r="U13" s="301"/>
      <c r="V13" s="301"/>
      <c r="W13" s="301"/>
      <c r="X13" s="301"/>
      <c r="Y13" s="301"/>
      <c r="Z13" s="301"/>
      <c r="AA13" s="301"/>
      <c r="AB13" s="301"/>
      <c r="AC13" s="301"/>
      <c r="AD13" s="301"/>
      <c r="AE13" s="301"/>
      <c r="AF13" s="301"/>
      <c r="AG13" s="301"/>
      <c r="AH13" s="93"/>
      <c r="AK13" s="1" t="s">
        <v>662</v>
      </c>
    </row>
    <row r="14" spans="1:37" s="9" customFormat="1" ht="45">
      <c r="A14" s="301"/>
      <c r="B14" s="301"/>
      <c r="C14" s="301"/>
      <c r="D14" s="301"/>
      <c r="E14" s="89" t="s">
        <v>147</v>
      </c>
      <c r="F14" s="106" t="s">
        <v>1341</v>
      </c>
      <c r="G14" s="106"/>
      <c r="H14" s="106" t="s">
        <v>870</v>
      </c>
      <c r="I14" s="89" t="s">
        <v>868</v>
      </c>
      <c r="J14" s="261" t="s">
        <v>870</v>
      </c>
      <c r="K14" s="89" t="s">
        <v>868</v>
      </c>
      <c r="L14" s="106"/>
      <c r="M14" s="89"/>
      <c r="N14" s="106"/>
      <c r="O14" s="106"/>
      <c r="P14" s="106"/>
      <c r="Q14" s="301"/>
      <c r="R14" s="301"/>
      <c r="S14" s="301"/>
      <c r="T14" s="301"/>
      <c r="U14" s="301"/>
      <c r="V14" s="301"/>
      <c r="W14" s="301"/>
      <c r="X14" s="301"/>
      <c r="Y14" s="301"/>
      <c r="Z14" s="301"/>
      <c r="AA14" s="301"/>
      <c r="AB14" s="301"/>
      <c r="AC14" s="301"/>
      <c r="AD14" s="301"/>
      <c r="AE14" s="301"/>
      <c r="AF14" s="301"/>
      <c r="AG14" s="301"/>
      <c r="AH14" s="93"/>
      <c r="AK14" s="167" t="s">
        <v>662</v>
      </c>
    </row>
    <row r="15" spans="1:37" s="9" customFormat="1" ht="30">
      <c r="A15" s="301"/>
      <c r="B15" s="301"/>
      <c r="C15" s="301"/>
      <c r="D15" s="301"/>
      <c r="E15" s="89" t="s">
        <v>728</v>
      </c>
      <c r="F15" s="106" t="s">
        <v>849</v>
      </c>
      <c r="G15" s="106"/>
      <c r="H15" s="106" t="s">
        <v>871</v>
      </c>
      <c r="I15" s="106" t="s">
        <v>849</v>
      </c>
      <c r="J15" s="258" t="s">
        <v>872</v>
      </c>
      <c r="K15" s="262" t="s">
        <v>849</v>
      </c>
      <c r="L15" s="106"/>
      <c r="M15" s="89"/>
      <c r="N15" s="106"/>
      <c r="O15" s="106"/>
      <c r="P15" s="106"/>
      <c r="Q15" s="301"/>
      <c r="R15" s="301"/>
      <c r="S15" s="301"/>
      <c r="T15" s="301"/>
      <c r="U15" s="301"/>
      <c r="V15" s="301"/>
      <c r="W15" s="301"/>
      <c r="X15" s="301"/>
      <c r="Y15" s="301"/>
      <c r="Z15" s="301"/>
      <c r="AA15" s="301"/>
      <c r="AB15" s="301"/>
      <c r="AC15" s="301"/>
      <c r="AD15" s="301"/>
      <c r="AE15" s="301"/>
      <c r="AF15" s="301"/>
      <c r="AG15" s="301"/>
      <c r="AH15" s="93"/>
      <c r="AK15" s="1" t="s">
        <v>662</v>
      </c>
    </row>
    <row r="16" spans="1:37" s="9" customFormat="1" ht="60">
      <c r="A16" s="301"/>
      <c r="B16" s="301"/>
      <c r="C16" s="301"/>
      <c r="D16" s="301"/>
      <c r="E16" s="89" t="s">
        <v>873</v>
      </c>
      <c r="F16" s="106" t="s">
        <v>1342</v>
      </c>
      <c r="G16" s="106"/>
      <c r="H16" s="106" t="s">
        <v>874</v>
      </c>
      <c r="I16" s="106" t="s">
        <v>868</v>
      </c>
      <c r="J16" s="263" t="s">
        <v>875</v>
      </c>
      <c r="K16" s="264" t="s">
        <v>849</v>
      </c>
      <c r="L16" s="106"/>
      <c r="M16" s="89"/>
      <c r="N16" s="106"/>
      <c r="O16" s="106"/>
      <c r="P16" s="106"/>
      <c r="Q16" s="301"/>
      <c r="R16" s="301"/>
      <c r="S16" s="301"/>
      <c r="T16" s="301"/>
      <c r="U16" s="301"/>
      <c r="V16" s="301"/>
      <c r="W16" s="301"/>
      <c r="X16" s="301"/>
      <c r="Y16" s="301"/>
      <c r="Z16" s="301"/>
      <c r="AA16" s="301"/>
      <c r="AB16" s="301"/>
      <c r="AC16" s="301"/>
      <c r="AD16" s="301"/>
      <c r="AE16" s="301"/>
      <c r="AF16" s="301"/>
      <c r="AG16" s="301"/>
      <c r="AH16" s="93"/>
      <c r="AK16" s="167" t="s">
        <v>662</v>
      </c>
    </row>
    <row r="17" spans="1:37" s="9" customFormat="1" ht="30">
      <c r="A17" s="301"/>
      <c r="B17" s="301"/>
      <c r="C17" s="301"/>
      <c r="D17" s="301"/>
      <c r="E17" s="89" t="s">
        <v>876</v>
      </c>
      <c r="F17" s="106" t="s">
        <v>147</v>
      </c>
      <c r="G17" s="106"/>
      <c r="H17" s="106" t="s">
        <v>877</v>
      </c>
      <c r="I17" s="106" t="s">
        <v>868</v>
      </c>
      <c r="J17" s="259" t="s">
        <v>878</v>
      </c>
      <c r="K17" s="260" t="s">
        <v>849</v>
      </c>
      <c r="L17" s="106"/>
      <c r="M17" s="89"/>
      <c r="N17" s="106"/>
      <c r="O17" s="106"/>
      <c r="P17" s="106"/>
      <c r="Q17" s="301"/>
      <c r="R17" s="301"/>
      <c r="S17" s="301"/>
      <c r="T17" s="301"/>
      <c r="U17" s="301"/>
      <c r="V17" s="301"/>
      <c r="W17" s="301"/>
      <c r="X17" s="301"/>
      <c r="Y17" s="301"/>
      <c r="Z17" s="301"/>
      <c r="AA17" s="301"/>
      <c r="AB17" s="301"/>
      <c r="AC17" s="301"/>
      <c r="AD17" s="301"/>
      <c r="AE17" s="301"/>
      <c r="AF17" s="301"/>
      <c r="AG17" s="301"/>
      <c r="AH17" s="93"/>
      <c r="AK17" s="167" t="s">
        <v>662</v>
      </c>
    </row>
    <row r="18" spans="1:37" s="9" customFormat="1">
      <c r="A18" s="301"/>
      <c r="B18" s="301"/>
      <c r="C18" s="301"/>
      <c r="D18" s="301"/>
      <c r="E18" s="89"/>
      <c r="F18" s="106" t="s">
        <v>1343</v>
      </c>
      <c r="G18" s="106"/>
      <c r="H18" s="106" t="s">
        <v>879</v>
      </c>
      <c r="I18" s="106" t="s">
        <v>849</v>
      </c>
      <c r="J18" s="258" t="s">
        <v>880</v>
      </c>
      <c r="K18" s="89" t="s">
        <v>849</v>
      </c>
      <c r="L18" s="106"/>
      <c r="M18" s="89"/>
      <c r="N18" s="106"/>
      <c r="O18" s="106"/>
      <c r="P18" s="106"/>
      <c r="Q18" s="301"/>
      <c r="R18" s="301"/>
      <c r="S18" s="301"/>
      <c r="T18" s="301"/>
      <c r="U18" s="301"/>
      <c r="V18" s="301"/>
      <c r="W18" s="301"/>
      <c r="X18" s="301"/>
      <c r="Y18" s="301"/>
      <c r="Z18" s="301"/>
      <c r="AA18" s="301"/>
      <c r="AB18" s="301"/>
      <c r="AC18" s="301"/>
      <c r="AD18" s="301"/>
      <c r="AE18" s="301"/>
      <c r="AF18" s="301"/>
      <c r="AG18" s="301"/>
      <c r="AH18" s="93"/>
      <c r="AK18" s="167" t="s">
        <v>662</v>
      </c>
    </row>
    <row r="19" spans="1:37" s="9" customFormat="1" ht="30">
      <c r="A19" s="301"/>
      <c r="B19" s="301"/>
      <c r="C19" s="301"/>
      <c r="D19" s="301"/>
      <c r="E19" s="89" t="s">
        <v>881</v>
      </c>
      <c r="F19" s="106"/>
      <c r="G19" s="106"/>
      <c r="H19" s="106" t="s">
        <v>882</v>
      </c>
      <c r="I19" s="106" t="s">
        <v>849</v>
      </c>
      <c r="J19" s="78" t="s">
        <v>883</v>
      </c>
      <c r="K19" s="79"/>
      <c r="L19" s="106"/>
      <c r="M19" s="89"/>
      <c r="N19" s="106"/>
      <c r="O19" s="106"/>
      <c r="P19" s="106"/>
      <c r="Q19" s="301"/>
      <c r="R19" s="301"/>
      <c r="S19" s="301"/>
      <c r="T19" s="301"/>
      <c r="U19" s="301"/>
      <c r="V19" s="301"/>
      <c r="W19" s="301"/>
      <c r="X19" s="301"/>
      <c r="Y19" s="301"/>
      <c r="Z19" s="301"/>
      <c r="AA19" s="301"/>
      <c r="AB19" s="301"/>
      <c r="AC19" s="301"/>
      <c r="AD19" s="301"/>
      <c r="AE19" s="301"/>
      <c r="AF19" s="301"/>
      <c r="AG19" s="301"/>
      <c r="AH19" s="93"/>
      <c r="AK19" s="167" t="s">
        <v>662</v>
      </c>
    </row>
    <row r="20" spans="1:37" s="9" customFormat="1">
      <c r="A20" s="301"/>
      <c r="B20" s="301"/>
      <c r="C20" s="301"/>
      <c r="D20" s="301"/>
      <c r="E20" s="89" t="s">
        <v>884</v>
      </c>
      <c r="F20" s="106"/>
      <c r="G20" s="106"/>
      <c r="H20" s="106" t="s">
        <v>885</v>
      </c>
      <c r="I20" s="106" t="s">
        <v>868</v>
      </c>
      <c r="J20" s="265" t="s">
        <v>886</v>
      </c>
      <c r="K20" s="266"/>
      <c r="L20" s="106"/>
      <c r="M20" s="89"/>
      <c r="N20" s="106"/>
      <c r="O20" s="106"/>
      <c r="P20" s="106"/>
      <c r="Q20" s="301"/>
      <c r="R20" s="301"/>
      <c r="S20" s="301"/>
      <c r="T20" s="301"/>
      <c r="U20" s="301"/>
      <c r="V20" s="301"/>
      <c r="W20" s="301"/>
      <c r="X20" s="301"/>
      <c r="Y20" s="301"/>
      <c r="Z20" s="301"/>
      <c r="AA20" s="301"/>
      <c r="AB20" s="301"/>
      <c r="AC20" s="301"/>
      <c r="AD20" s="301"/>
      <c r="AE20" s="301"/>
      <c r="AF20" s="301"/>
      <c r="AG20" s="301"/>
      <c r="AH20" s="93"/>
      <c r="AK20" s="167" t="s">
        <v>662</v>
      </c>
    </row>
    <row r="21" spans="1:37" s="9" customFormat="1">
      <c r="A21" s="301"/>
      <c r="B21" s="301"/>
      <c r="C21" s="301"/>
      <c r="D21" s="301"/>
      <c r="E21" s="89" t="s">
        <v>887</v>
      </c>
      <c r="F21" s="106"/>
      <c r="G21" s="106"/>
      <c r="H21" s="106" t="s">
        <v>888</v>
      </c>
      <c r="I21" s="106" t="s">
        <v>868</v>
      </c>
      <c r="J21" s="78" t="s">
        <v>889</v>
      </c>
      <c r="K21" s="79"/>
      <c r="L21" s="106"/>
      <c r="M21" s="89"/>
      <c r="N21" s="106"/>
      <c r="O21" s="106"/>
      <c r="P21" s="106"/>
      <c r="Q21" s="301"/>
      <c r="R21" s="301"/>
      <c r="S21" s="301"/>
      <c r="T21" s="301"/>
      <c r="U21" s="301"/>
      <c r="V21" s="301"/>
      <c r="W21" s="301"/>
      <c r="X21" s="301"/>
      <c r="Y21" s="301"/>
      <c r="Z21" s="301"/>
      <c r="AA21" s="301"/>
      <c r="AB21" s="301"/>
      <c r="AC21" s="301"/>
      <c r="AD21" s="301"/>
      <c r="AE21" s="301"/>
      <c r="AF21" s="301"/>
      <c r="AG21" s="301"/>
      <c r="AH21" s="93"/>
      <c r="AK21" s="167" t="s">
        <v>662</v>
      </c>
    </row>
    <row r="22" spans="1:37" s="9" customFormat="1">
      <c r="A22" s="301"/>
      <c r="B22" s="301"/>
      <c r="C22" s="301"/>
      <c r="D22" s="301"/>
      <c r="E22" s="89" t="s">
        <v>849</v>
      </c>
      <c r="F22" s="106"/>
      <c r="G22" s="106"/>
      <c r="H22" s="106" t="s">
        <v>890</v>
      </c>
      <c r="I22" s="106"/>
      <c r="J22" s="267" t="s">
        <v>891</v>
      </c>
      <c r="K22" s="268"/>
      <c r="L22" s="106"/>
      <c r="M22" s="89"/>
      <c r="N22" s="106"/>
      <c r="O22" s="106"/>
      <c r="P22" s="106"/>
      <c r="Q22" s="301"/>
      <c r="R22" s="301"/>
      <c r="S22" s="301"/>
      <c r="T22" s="301"/>
      <c r="U22" s="301"/>
      <c r="V22" s="301"/>
      <c r="W22" s="301"/>
      <c r="X22" s="301"/>
      <c r="Y22" s="301"/>
      <c r="Z22" s="301"/>
      <c r="AA22" s="301"/>
      <c r="AB22" s="301"/>
      <c r="AC22" s="301"/>
      <c r="AD22" s="301"/>
      <c r="AE22" s="301"/>
      <c r="AF22" s="301"/>
      <c r="AG22" s="301"/>
      <c r="AH22" s="93"/>
      <c r="AK22" s="167" t="s">
        <v>662</v>
      </c>
    </row>
    <row r="23" spans="1:37" s="9" customFormat="1">
      <c r="A23" s="301"/>
      <c r="B23" s="301"/>
      <c r="C23" s="301"/>
      <c r="D23" s="301"/>
      <c r="E23" s="89"/>
      <c r="F23" s="106"/>
      <c r="G23" s="106"/>
      <c r="H23" s="106" t="s">
        <v>892</v>
      </c>
      <c r="I23" s="89" t="s">
        <v>868</v>
      </c>
      <c r="J23" s="197" t="s">
        <v>893</v>
      </c>
      <c r="K23" s="269" t="s">
        <v>849</v>
      </c>
      <c r="L23" s="106"/>
      <c r="M23" s="89"/>
      <c r="N23" s="106"/>
      <c r="O23" s="106"/>
      <c r="P23" s="106"/>
      <c r="Q23" s="301"/>
      <c r="R23" s="301"/>
      <c r="S23" s="301"/>
      <c r="T23" s="301"/>
      <c r="U23" s="301"/>
      <c r="V23" s="301"/>
      <c r="W23" s="301"/>
      <c r="X23" s="301"/>
      <c r="Y23" s="301"/>
      <c r="Z23" s="301"/>
      <c r="AA23" s="301"/>
      <c r="AB23" s="301"/>
      <c r="AC23" s="301"/>
      <c r="AD23" s="301"/>
      <c r="AE23" s="301"/>
      <c r="AF23" s="301"/>
      <c r="AG23" s="301"/>
      <c r="AH23" s="93"/>
      <c r="AK23" s="167" t="s">
        <v>662</v>
      </c>
    </row>
    <row r="24" spans="1:37" s="9" customFormat="1">
      <c r="A24" s="301"/>
      <c r="B24" s="301"/>
      <c r="C24" s="301"/>
      <c r="D24" s="301"/>
      <c r="E24" s="89"/>
      <c r="F24" s="106"/>
      <c r="G24" s="106"/>
      <c r="H24" s="106" t="s">
        <v>894</v>
      </c>
      <c r="I24" s="89" t="s">
        <v>868</v>
      </c>
      <c r="J24" s="270" t="s">
        <v>895</v>
      </c>
      <c r="K24" s="89" t="s">
        <v>868</v>
      </c>
      <c r="L24" s="106"/>
      <c r="M24" s="89"/>
      <c r="N24" s="106"/>
      <c r="O24" s="106"/>
      <c r="P24" s="106"/>
      <c r="Q24" s="301"/>
      <c r="R24" s="301"/>
      <c r="S24" s="301"/>
      <c r="T24" s="301"/>
      <c r="U24" s="301"/>
      <c r="V24" s="301"/>
      <c r="W24" s="301"/>
      <c r="X24" s="301"/>
      <c r="Y24" s="301"/>
      <c r="Z24" s="301"/>
      <c r="AA24" s="301"/>
      <c r="AB24" s="301"/>
      <c r="AC24" s="301"/>
      <c r="AD24" s="301"/>
      <c r="AE24" s="301"/>
      <c r="AF24" s="301"/>
      <c r="AG24" s="301"/>
      <c r="AH24" s="93"/>
      <c r="AK24" s="167" t="s">
        <v>662</v>
      </c>
    </row>
    <row r="25" spans="1:37" s="9" customFormat="1">
      <c r="A25" s="301"/>
      <c r="B25" s="301"/>
      <c r="C25" s="301"/>
      <c r="D25" s="301"/>
      <c r="E25" s="89"/>
      <c r="F25" s="106"/>
      <c r="G25" s="106"/>
      <c r="H25" s="106" t="s">
        <v>896</v>
      </c>
      <c r="I25" s="106" t="s">
        <v>868</v>
      </c>
      <c r="J25" s="271" t="s">
        <v>897</v>
      </c>
      <c r="K25" s="89" t="s">
        <v>868</v>
      </c>
      <c r="L25" s="106"/>
      <c r="M25" s="89"/>
      <c r="N25" s="106"/>
      <c r="O25" s="106"/>
      <c r="P25" s="106"/>
      <c r="Q25" s="301"/>
      <c r="R25" s="301"/>
      <c r="S25" s="301"/>
      <c r="T25" s="301"/>
      <c r="U25" s="301"/>
      <c r="V25" s="301"/>
      <c r="W25" s="301"/>
      <c r="X25" s="301"/>
      <c r="Y25" s="301"/>
      <c r="Z25" s="301"/>
      <c r="AA25" s="301"/>
      <c r="AB25" s="301"/>
      <c r="AC25" s="301"/>
      <c r="AD25" s="301"/>
      <c r="AE25" s="301"/>
      <c r="AF25" s="301"/>
      <c r="AG25" s="301"/>
      <c r="AH25" s="93"/>
      <c r="AK25" s="167" t="s">
        <v>662</v>
      </c>
    </row>
    <row r="26" spans="1:37" s="9" customFormat="1">
      <c r="A26" s="301"/>
      <c r="B26" s="301"/>
      <c r="C26" s="301"/>
      <c r="D26" s="301"/>
      <c r="E26" s="89"/>
      <c r="F26" s="106"/>
      <c r="G26" s="106"/>
      <c r="H26" s="106" t="s">
        <v>898</v>
      </c>
      <c r="I26" s="106" t="s">
        <v>868</v>
      </c>
      <c r="J26" s="271" t="s">
        <v>899</v>
      </c>
      <c r="K26" s="89" t="s">
        <v>868</v>
      </c>
      <c r="L26" s="106"/>
      <c r="M26" s="89"/>
      <c r="N26" s="106"/>
      <c r="O26" s="106"/>
      <c r="P26" s="106"/>
      <c r="Q26" s="301"/>
      <c r="R26" s="301"/>
      <c r="S26" s="301"/>
      <c r="T26" s="301"/>
      <c r="U26" s="301"/>
      <c r="V26" s="301"/>
      <c r="W26" s="301"/>
      <c r="X26" s="301"/>
      <c r="Y26" s="301"/>
      <c r="Z26" s="301"/>
      <c r="AA26" s="301"/>
      <c r="AB26" s="301"/>
      <c r="AC26" s="301"/>
      <c r="AD26" s="301"/>
      <c r="AE26" s="301"/>
      <c r="AF26" s="301"/>
      <c r="AG26" s="301"/>
      <c r="AH26" s="93"/>
      <c r="AK26" s="167" t="s">
        <v>662</v>
      </c>
    </row>
    <row r="27" spans="1:37" s="9" customFormat="1">
      <c r="A27" s="301"/>
      <c r="B27" s="301"/>
      <c r="C27" s="301"/>
      <c r="D27" s="301"/>
      <c r="E27" s="89"/>
      <c r="F27" s="106"/>
      <c r="G27" s="106"/>
      <c r="H27" s="106" t="s">
        <v>900</v>
      </c>
      <c r="I27" s="106" t="s">
        <v>868</v>
      </c>
      <c r="J27" s="271" t="s">
        <v>901</v>
      </c>
      <c r="K27" s="89" t="s">
        <v>868</v>
      </c>
      <c r="L27" s="106"/>
      <c r="M27" s="89"/>
      <c r="N27" s="106"/>
      <c r="O27" s="106"/>
      <c r="P27" s="106"/>
      <c r="Q27" s="301"/>
      <c r="R27" s="301"/>
      <c r="S27" s="301"/>
      <c r="T27" s="301"/>
      <c r="U27" s="301"/>
      <c r="V27" s="301"/>
      <c r="W27" s="301"/>
      <c r="X27" s="301"/>
      <c r="Y27" s="301"/>
      <c r="Z27" s="301"/>
      <c r="AA27" s="301"/>
      <c r="AB27" s="301"/>
      <c r="AC27" s="301"/>
      <c r="AD27" s="301"/>
      <c r="AE27" s="301"/>
      <c r="AF27" s="301"/>
      <c r="AG27" s="301"/>
      <c r="AH27" s="93"/>
      <c r="AK27" s="167" t="s">
        <v>662</v>
      </c>
    </row>
    <row r="28" spans="1:37" s="9" customFormat="1">
      <c r="A28" s="301"/>
      <c r="B28" s="301"/>
      <c r="C28" s="301"/>
      <c r="D28" s="301"/>
      <c r="E28" s="89"/>
      <c r="F28" s="106"/>
      <c r="G28" s="106"/>
      <c r="H28" s="106" t="s">
        <v>902</v>
      </c>
      <c r="I28" s="106" t="s">
        <v>849</v>
      </c>
      <c r="J28" s="271" t="s">
        <v>903</v>
      </c>
      <c r="K28" s="89" t="s">
        <v>868</v>
      </c>
      <c r="L28" s="106"/>
      <c r="M28" s="89"/>
      <c r="N28" s="106"/>
      <c r="O28" s="106"/>
      <c r="P28" s="106"/>
      <c r="Q28" s="301"/>
      <c r="R28" s="301"/>
      <c r="S28" s="301"/>
      <c r="T28" s="301"/>
      <c r="U28" s="301"/>
      <c r="V28" s="301"/>
      <c r="W28" s="301"/>
      <c r="X28" s="301"/>
      <c r="Y28" s="301"/>
      <c r="Z28" s="301"/>
      <c r="AA28" s="301"/>
      <c r="AB28" s="301"/>
      <c r="AC28" s="301"/>
      <c r="AD28" s="301"/>
      <c r="AE28" s="301"/>
      <c r="AF28" s="301"/>
      <c r="AG28" s="301"/>
      <c r="AH28" s="93"/>
      <c r="AK28" s="167" t="s">
        <v>662</v>
      </c>
    </row>
    <row r="29" spans="1:37" s="9" customFormat="1">
      <c r="A29" s="301"/>
      <c r="B29" s="301"/>
      <c r="C29" s="301"/>
      <c r="D29" s="301"/>
      <c r="E29" s="89"/>
      <c r="F29" s="106"/>
      <c r="G29" s="106"/>
      <c r="H29" s="106" t="s">
        <v>904</v>
      </c>
      <c r="I29" s="106" t="s">
        <v>849</v>
      </c>
      <c r="J29" s="267" t="s">
        <v>905</v>
      </c>
      <c r="K29" s="268"/>
      <c r="L29" s="106"/>
      <c r="M29" s="89"/>
      <c r="N29" s="106"/>
      <c r="O29" s="106"/>
      <c r="P29" s="106"/>
      <c r="Q29" s="301"/>
      <c r="R29" s="301"/>
      <c r="S29" s="301"/>
      <c r="T29" s="301"/>
      <c r="U29" s="301"/>
      <c r="V29" s="301"/>
      <c r="W29" s="301"/>
      <c r="X29" s="301"/>
      <c r="Y29" s="301"/>
      <c r="Z29" s="301"/>
      <c r="AA29" s="301"/>
      <c r="AB29" s="301"/>
      <c r="AC29" s="301"/>
      <c r="AD29" s="301"/>
      <c r="AE29" s="301"/>
      <c r="AF29" s="301"/>
      <c r="AG29" s="301"/>
      <c r="AH29" s="93"/>
      <c r="AK29" s="167" t="s">
        <v>662</v>
      </c>
    </row>
    <row r="30" spans="1:37" s="9" customFormat="1">
      <c r="A30" s="301"/>
      <c r="B30" s="301"/>
      <c r="C30" s="301"/>
      <c r="D30" s="301"/>
      <c r="E30" s="89"/>
      <c r="F30" s="106"/>
      <c r="G30" s="106"/>
      <c r="H30" s="106" t="s">
        <v>906</v>
      </c>
      <c r="I30" s="89" t="s">
        <v>868</v>
      </c>
      <c r="J30" s="78" t="s">
        <v>907</v>
      </c>
      <c r="K30" s="89" t="s">
        <v>849</v>
      </c>
      <c r="L30" s="106"/>
      <c r="M30" s="89"/>
      <c r="N30" s="106"/>
      <c r="O30" s="106"/>
      <c r="P30" s="106"/>
      <c r="Q30" s="301"/>
      <c r="R30" s="301"/>
      <c r="S30" s="301"/>
      <c r="T30" s="301"/>
      <c r="U30" s="301"/>
      <c r="V30" s="301"/>
      <c r="W30" s="301"/>
      <c r="X30" s="301"/>
      <c r="Y30" s="301"/>
      <c r="Z30" s="301"/>
      <c r="AA30" s="301"/>
      <c r="AB30" s="301"/>
      <c r="AC30" s="301"/>
      <c r="AD30" s="301"/>
      <c r="AE30" s="301"/>
      <c r="AF30" s="301"/>
      <c r="AG30" s="301"/>
      <c r="AH30" s="93"/>
      <c r="AK30" s="167" t="s">
        <v>662</v>
      </c>
    </row>
    <row r="31" spans="1:37" s="9" customFormat="1">
      <c r="A31" s="301"/>
      <c r="B31" s="301"/>
      <c r="C31" s="301"/>
      <c r="D31" s="301"/>
      <c r="E31" s="89"/>
      <c r="F31" s="106"/>
      <c r="G31" s="106"/>
      <c r="H31" s="106" t="s">
        <v>908</v>
      </c>
      <c r="I31" s="89" t="s">
        <v>868</v>
      </c>
      <c r="J31" s="259" t="s">
        <v>909</v>
      </c>
      <c r="K31" s="260"/>
      <c r="L31" s="106"/>
      <c r="M31" s="89"/>
      <c r="N31" s="106"/>
      <c r="O31" s="106"/>
      <c r="P31" s="106"/>
      <c r="Q31" s="301"/>
      <c r="R31" s="301"/>
      <c r="S31" s="301"/>
      <c r="T31" s="301"/>
      <c r="U31" s="301"/>
      <c r="V31" s="301"/>
      <c r="W31" s="301"/>
      <c r="X31" s="301"/>
      <c r="Y31" s="301"/>
      <c r="Z31" s="301"/>
      <c r="AA31" s="301"/>
      <c r="AB31" s="301"/>
      <c r="AC31" s="301"/>
      <c r="AD31" s="301"/>
      <c r="AE31" s="301"/>
      <c r="AF31" s="301"/>
      <c r="AG31" s="301"/>
      <c r="AH31" s="93"/>
      <c r="AK31" s="167" t="s">
        <v>662</v>
      </c>
    </row>
    <row r="32" spans="1:37" s="9" customFormat="1">
      <c r="A32" s="301"/>
      <c r="B32" s="301"/>
      <c r="C32" s="301"/>
      <c r="D32" s="301"/>
      <c r="E32" s="89"/>
      <c r="F32" s="106"/>
      <c r="G32" s="106"/>
      <c r="H32" s="106" t="s">
        <v>910</v>
      </c>
      <c r="I32" s="106" t="s">
        <v>868</v>
      </c>
      <c r="J32" s="78" t="s">
        <v>911</v>
      </c>
      <c r="K32" s="79" t="s">
        <v>849</v>
      </c>
      <c r="L32" s="106"/>
      <c r="M32" s="89"/>
      <c r="N32" s="106"/>
      <c r="O32" s="106"/>
      <c r="P32" s="106"/>
      <c r="Q32" s="301"/>
      <c r="R32" s="301"/>
      <c r="S32" s="301"/>
      <c r="T32" s="301"/>
      <c r="U32" s="301"/>
      <c r="V32" s="301"/>
      <c r="W32" s="301"/>
      <c r="X32" s="301"/>
      <c r="Y32" s="301"/>
      <c r="Z32" s="301"/>
      <c r="AA32" s="301"/>
      <c r="AB32" s="301"/>
      <c r="AC32" s="301"/>
      <c r="AD32" s="301"/>
      <c r="AE32" s="301"/>
      <c r="AF32" s="301"/>
      <c r="AG32" s="301"/>
      <c r="AH32" s="93"/>
      <c r="AK32" s="167" t="s">
        <v>662</v>
      </c>
    </row>
    <row r="33" spans="1:37" s="9" customFormat="1">
      <c r="A33" s="301"/>
      <c r="B33" s="301"/>
      <c r="C33" s="301"/>
      <c r="D33" s="301"/>
      <c r="E33" s="89"/>
      <c r="F33" s="106"/>
      <c r="G33" s="106"/>
      <c r="H33" s="106" t="s">
        <v>912</v>
      </c>
      <c r="I33" s="106" t="s">
        <v>868</v>
      </c>
      <c r="J33" s="301" t="s">
        <v>906</v>
      </c>
      <c r="K33" s="272" t="s">
        <v>913</v>
      </c>
      <c r="L33" s="106"/>
      <c r="M33" s="89"/>
      <c r="N33" s="106"/>
      <c r="O33" s="106"/>
      <c r="P33" s="106"/>
      <c r="Q33" s="301"/>
      <c r="R33" s="301"/>
      <c r="S33" s="301"/>
      <c r="T33" s="301"/>
      <c r="U33" s="301"/>
      <c r="V33" s="301"/>
      <c r="W33" s="301"/>
      <c r="X33" s="301"/>
      <c r="Y33" s="301"/>
      <c r="Z33" s="301"/>
      <c r="AA33" s="301"/>
      <c r="AB33" s="301"/>
      <c r="AC33" s="301"/>
      <c r="AD33" s="301"/>
      <c r="AE33" s="301"/>
      <c r="AF33" s="301"/>
      <c r="AG33" s="301"/>
      <c r="AH33" s="93"/>
      <c r="AK33" s="167" t="s">
        <v>662</v>
      </c>
    </row>
    <row r="34" spans="1:37" s="9" customFormat="1" ht="30">
      <c r="A34" s="301"/>
      <c r="B34" s="301"/>
      <c r="C34" s="301"/>
      <c r="D34" s="301"/>
      <c r="E34" s="89"/>
      <c r="F34" s="106"/>
      <c r="G34" s="106"/>
      <c r="H34" s="106" t="s">
        <v>914</v>
      </c>
      <c r="I34" s="106" t="s">
        <v>849</v>
      </c>
      <c r="J34" s="271" t="s">
        <v>915</v>
      </c>
      <c r="K34" s="79" t="s">
        <v>916</v>
      </c>
      <c r="L34" s="106"/>
      <c r="M34" s="89"/>
      <c r="N34" s="106"/>
      <c r="O34" s="106"/>
      <c r="P34" s="106"/>
      <c r="Q34" s="301"/>
      <c r="R34" s="301"/>
      <c r="S34" s="301"/>
      <c r="T34" s="301"/>
      <c r="U34" s="301"/>
      <c r="V34" s="301"/>
      <c r="W34" s="301"/>
      <c r="X34" s="301"/>
      <c r="Y34" s="301"/>
      <c r="Z34" s="301"/>
      <c r="AA34" s="301"/>
      <c r="AB34" s="301"/>
      <c r="AC34" s="301"/>
      <c r="AD34" s="301"/>
      <c r="AE34" s="301"/>
      <c r="AF34" s="301"/>
      <c r="AG34" s="301"/>
      <c r="AH34" s="93"/>
      <c r="AK34" s="167" t="s">
        <v>662</v>
      </c>
    </row>
    <row r="35" spans="1:37" s="9" customFormat="1">
      <c r="A35" s="301"/>
      <c r="B35" s="301"/>
      <c r="C35" s="301"/>
      <c r="D35" s="301"/>
      <c r="E35" s="89"/>
      <c r="F35" s="106"/>
      <c r="G35" s="106"/>
      <c r="H35" s="106" t="s">
        <v>917</v>
      </c>
      <c r="I35" s="106" t="s">
        <v>849</v>
      </c>
      <c r="J35" s="273" t="s">
        <v>918</v>
      </c>
      <c r="K35" s="89" t="s">
        <v>868</v>
      </c>
      <c r="L35" s="106"/>
      <c r="M35" s="89"/>
      <c r="N35" s="106"/>
      <c r="O35" s="106"/>
      <c r="P35" s="106"/>
      <c r="Q35" s="301"/>
      <c r="R35" s="301"/>
      <c r="S35" s="301"/>
      <c r="T35" s="301"/>
      <c r="U35" s="301"/>
      <c r="V35" s="301"/>
      <c r="W35" s="301"/>
      <c r="X35" s="301"/>
      <c r="Y35" s="301"/>
      <c r="Z35" s="301"/>
      <c r="AA35" s="301"/>
      <c r="AB35" s="301"/>
      <c r="AC35" s="301"/>
      <c r="AD35" s="301"/>
      <c r="AE35" s="301"/>
      <c r="AF35" s="301"/>
      <c r="AG35" s="301"/>
      <c r="AH35" s="93"/>
    </row>
    <row r="36" spans="1:37" s="9" customFormat="1">
      <c r="A36" s="301"/>
      <c r="B36" s="301"/>
      <c r="C36" s="301"/>
      <c r="D36" s="301"/>
      <c r="E36" s="89"/>
      <c r="F36" s="106"/>
      <c r="G36" s="106"/>
      <c r="H36" s="106" t="s">
        <v>919</v>
      </c>
      <c r="I36" s="106" t="s">
        <v>868</v>
      </c>
      <c r="J36" s="271" t="s">
        <v>920</v>
      </c>
      <c r="K36" s="89" t="s">
        <v>868</v>
      </c>
      <c r="L36" s="106"/>
      <c r="M36" s="89"/>
      <c r="N36" s="106"/>
      <c r="O36" s="106"/>
      <c r="P36" s="106"/>
      <c r="Q36" s="301"/>
      <c r="R36" s="301"/>
      <c r="S36" s="301"/>
      <c r="T36" s="301"/>
      <c r="U36" s="301"/>
      <c r="V36" s="301"/>
      <c r="W36" s="301"/>
      <c r="X36" s="301"/>
      <c r="Y36" s="301"/>
      <c r="Z36" s="301"/>
      <c r="AA36" s="301"/>
      <c r="AB36" s="301"/>
      <c r="AC36" s="301"/>
      <c r="AD36" s="301"/>
      <c r="AE36" s="301"/>
      <c r="AF36" s="301"/>
      <c r="AG36" s="301"/>
      <c r="AH36" s="93"/>
    </row>
    <row r="37" spans="1:37" s="9" customFormat="1">
      <c r="A37" s="301"/>
      <c r="B37" s="301"/>
      <c r="C37" s="301"/>
      <c r="D37" s="301"/>
      <c r="E37" s="89"/>
      <c r="F37" s="106"/>
      <c r="G37" s="106"/>
      <c r="H37" s="106" t="s">
        <v>921</v>
      </c>
      <c r="I37" s="106" t="s">
        <v>849</v>
      </c>
      <c r="J37" s="301" t="s">
        <v>922</v>
      </c>
      <c r="K37" s="274" t="s">
        <v>923</v>
      </c>
      <c r="L37" s="106"/>
      <c r="M37" s="89"/>
      <c r="N37" s="106"/>
      <c r="O37" s="106"/>
      <c r="P37" s="106"/>
      <c r="Q37" s="301"/>
      <c r="R37" s="301"/>
      <c r="S37" s="301"/>
      <c r="T37" s="301"/>
      <c r="U37" s="301"/>
      <c r="V37" s="301"/>
      <c r="W37" s="301"/>
      <c r="X37" s="301"/>
      <c r="Y37" s="301"/>
      <c r="Z37" s="301"/>
      <c r="AA37" s="301"/>
      <c r="AB37" s="301"/>
      <c r="AC37" s="301"/>
      <c r="AD37" s="301"/>
      <c r="AE37" s="301"/>
      <c r="AF37" s="301"/>
      <c r="AG37" s="301"/>
      <c r="AH37" s="93"/>
    </row>
    <row r="38" spans="1:37" s="9" customFormat="1">
      <c r="A38" s="301"/>
      <c r="B38" s="301"/>
      <c r="C38" s="301"/>
      <c r="D38" s="301"/>
      <c r="E38" s="89"/>
      <c r="F38" s="106"/>
      <c r="G38" s="106"/>
      <c r="H38" s="106" t="s">
        <v>924</v>
      </c>
      <c r="I38" s="106" t="s">
        <v>849</v>
      </c>
      <c r="J38" s="258" t="s">
        <v>925</v>
      </c>
      <c r="K38" s="89" t="s">
        <v>849</v>
      </c>
      <c r="L38" s="106"/>
      <c r="M38" s="89"/>
      <c r="N38" s="106"/>
      <c r="O38" s="106"/>
      <c r="P38" s="106"/>
      <c r="Q38" s="301"/>
      <c r="R38" s="301"/>
      <c r="S38" s="301"/>
      <c r="T38" s="301"/>
      <c r="U38" s="301"/>
      <c r="V38" s="301"/>
      <c r="W38" s="301"/>
      <c r="X38" s="301"/>
      <c r="Y38" s="301"/>
      <c r="Z38" s="301"/>
      <c r="AA38" s="301"/>
      <c r="AB38" s="301"/>
      <c r="AC38" s="301"/>
      <c r="AD38" s="301"/>
      <c r="AE38" s="301"/>
      <c r="AF38" s="301"/>
      <c r="AG38" s="301"/>
      <c r="AH38" s="93"/>
    </row>
    <row r="39" spans="1:37" s="9" customFormat="1">
      <c r="A39" s="301"/>
      <c r="B39" s="301"/>
      <c r="C39" s="301"/>
      <c r="D39" s="301"/>
      <c r="E39" s="89"/>
      <c r="F39" s="106"/>
      <c r="G39" s="106"/>
      <c r="H39" s="106" t="s">
        <v>926</v>
      </c>
      <c r="I39" s="106" t="s">
        <v>927</v>
      </c>
      <c r="J39" s="275" t="s">
        <v>928</v>
      </c>
      <c r="K39" s="276" t="s">
        <v>849</v>
      </c>
      <c r="L39" s="106"/>
      <c r="M39" s="89"/>
      <c r="N39" s="106"/>
      <c r="O39" s="106"/>
      <c r="P39" s="106"/>
      <c r="Q39" s="301"/>
      <c r="R39" s="301"/>
      <c r="S39" s="301"/>
      <c r="T39" s="301"/>
      <c r="U39" s="301"/>
      <c r="V39" s="301"/>
      <c r="W39" s="301"/>
      <c r="X39" s="301"/>
      <c r="Y39" s="301"/>
      <c r="Z39" s="301"/>
      <c r="AA39" s="301"/>
      <c r="AB39" s="301"/>
      <c r="AC39" s="301"/>
      <c r="AD39" s="301"/>
      <c r="AE39" s="301"/>
      <c r="AF39" s="301"/>
      <c r="AG39" s="301"/>
      <c r="AH39" s="93"/>
    </row>
    <row r="40" spans="1:37" s="9" customFormat="1">
      <c r="A40" s="301"/>
      <c r="B40" s="301"/>
      <c r="C40" s="301"/>
      <c r="D40" s="301"/>
      <c r="E40" s="89"/>
      <c r="F40" s="106"/>
      <c r="G40" s="106"/>
      <c r="H40" s="106" t="s">
        <v>929</v>
      </c>
      <c r="I40" s="106" t="s">
        <v>868</v>
      </c>
      <c r="J40" s="277" t="s">
        <v>919</v>
      </c>
      <c r="K40" s="272" t="s">
        <v>913</v>
      </c>
      <c r="L40" s="106"/>
      <c r="M40" s="89"/>
      <c r="N40" s="106"/>
      <c r="O40" s="106"/>
      <c r="P40" s="106"/>
      <c r="Q40" s="301"/>
      <c r="R40" s="301"/>
      <c r="S40" s="301"/>
      <c r="T40" s="301"/>
      <c r="U40" s="301"/>
      <c r="V40" s="301"/>
      <c r="W40" s="301"/>
      <c r="X40" s="301"/>
      <c r="Y40" s="301"/>
      <c r="Z40" s="301"/>
      <c r="AA40" s="301"/>
      <c r="AB40" s="301"/>
      <c r="AC40" s="301"/>
      <c r="AD40" s="301"/>
      <c r="AE40" s="301"/>
      <c r="AF40" s="301"/>
      <c r="AG40" s="301"/>
      <c r="AH40" s="93"/>
    </row>
    <row r="41" spans="1:37" s="9" customFormat="1">
      <c r="A41" s="301"/>
      <c r="B41" s="301"/>
      <c r="C41" s="301"/>
      <c r="D41" s="301"/>
      <c r="E41" s="89"/>
      <c r="F41" s="106"/>
      <c r="G41" s="106"/>
      <c r="H41" s="106" t="s">
        <v>930</v>
      </c>
      <c r="I41" s="106" t="s">
        <v>927</v>
      </c>
      <c r="J41" s="78" t="s">
        <v>931</v>
      </c>
      <c r="K41" s="79" t="s">
        <v>849</v>
      </c>
      <c r="L41" s="106"/>
      <c r="M41" s="89"/>
      <c r="N41" s="106"/>
      <c r="O41" s="106"/>
      <c r="P41" s="106"/>
      <c r="Q41" s="301"/>
      <c r="R41" s="301"/>
      <c r="S41" s="301"/>
      <c r="T41" s="301"/>
      <c r="U41" s="301"/>
      <c r="V41" s="301"/>
      <c r="W41" s="301"/>
      <c r="X41" s="301"/>
      <c r="Y41" s="301"/>
      <c r="Z41" s="301"/>
      <c r="AA41" s="301"/>
      <c r="AB41" s="301"/>
      <c r="AC41" s="301"/>
      <c r="AD41" s="301"/>
      <c r="AE41" s="301"/>
      <c r="AF41" s="301"/>
      <c r="AG41" s="301"/>
      <c r="AH41" s="93"/>
    </row>
    <row r="42" spans="1:37" s="9" customFormat="1">
      <c r="A42" s="301"/>
      <c r="B42" s="301"/>
      <c r="C42" s="301"/>
      <c r="D42" s="301"/>
      <c r="E42" s="89"/>
      <c r="F42" s="106"/>
      <c r="G42" s="106"/>
      <c r="H42" s="106" t="s">
        <v>932</v>
      </c>
      <c r="I42" s="106" t="s">
        <v>868</v>
      </c>
      <c r="J42" s="278" t="s">
        <v>933</v>
      </c>
      <c r="K42" s="279" t="s">
        <v>849</v>
      </c>
      <c r="L42" s="106"/>
      <c r="M42" s="89"/>
      <c r="N42" s="106"/>
      <c r="O42" s="106"/>
      <c r="P42" s="106"/>
      <c r="Q42" s="301"/>
      <c r="R42" s="301"/>
      <c r="S42" s="301"/>
      <c r="T42" s="301"/>
      <c r="U42" s="301"/>
      <c r="V42" s="301"/>
      <c r="W42" s="301"/>
      <c r="X42" s="301"/>
      <c r="Y42" s="301"/>
      <c r="Z42" s="301"/>
      <c r="AA42" s="301"/>
      <c r="AB42" s="301"/>
      <c r="AC42" s="301"/>
      <c r="AD42" s="301"/>
      <c r="AE42" s="301"/>
      <c r="AF42" s="301"/>
      <c r="AG42" s="301"/>
      <c r="AH42" s="93"/>
    </row>
    <row r="43" spans="1:37" s="9" customFormat="1">
      <c r="A43" s="301"/>
      <c r="B43" s="301"/>
      <c r="C43" s="301"/>
      <c r="D43" s="301"/>
      <c r="E43" s="89"/>
      <c r="F43" s="106"/>
      <c r="G43" s="106"/>
      <c r="H43" s="106" t="s">
        <v>934</v>
      </c>
      <c r="I43" s="106" t="s">
        <v>868</v>
      </c>
      <c r="J43" s="280" t="s">
        <v>935</v>
      </c>
      <c r="K43" s="274" t="s">
        <v>923</v>
      </c>
      <c r="L43" s="106"/>
      <c r="M43" s="89"/>
      <c r="N43" s="106"/>
      <c r="O43" s="106"/>
      <c r="P43" s="106"/>
      <c r="Q43" s="301"/>
      <c r="R43" s="301"/>
      <c r="S43" s="301"/>
      <c r="T43" s="301"/>
      <c r="U43" s="301"/>
      <c r="V43" s="301"/>
      <c r="W43" s="301"/>
      <c r="X43" s="301"/>
      <c r="Y43" s="301"/>
      <c r="Z43" s="301"/>
      <c r="AA43" s="301"/>
      <c r="AB43" s="301"/>
      <c r="AC43" s="301"/>
      <c r="AD43" s="301"/>
      <c r="AE43" s="301"/>
      <c r="AF43" s="301"/>
      <c r="AG43" s="301"/>
      <c r="AH43" s="93"/>
    </row>
    <row r="44" spans="1:37" s="9" customFormat="1">
      <c r="A44" s="301"/>
      <c r="B44" s="301"/>
      <c r="C44" s="301"/>
      <c r="D44" s="301"/>
      <c r="E44" s="89"/>
      <c r="F44" s="106"/>
      <c r="G44" s="106"/>
      <c r="H44" s="106" t="s">
        <v>936</v>
      </c>
      <c r="I44" s="106" t="s">
        <v>849</v>
      </c>
      <c r="J44" s="275" t="s">
        <v>937</v>
      </c>
      <c r="K44" s="276"/>
      <c r="L44" s="106"/>
      <c r="M44" s="89"/>
      <c r="N44" s="106"/>
      <c r="O44" s="106"/>
      <c r="P44" s="106"/>
      <c r="Q44" s="301"/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1"/>
      <c r="AC44" s="301"/>
      <c r="AD44" s="301"/>
      <c r="AE44" s="301"/>
      <c r="AF44" s="301"/>
      <c r="AG44" s="301"/>
      <c r="AH44" s="93"/>
    </row>
    <row r="45" spans="1:37" s="9" customFormat="1">
      <c r="A45" s="301"/>
      <c r="B45" s="301"/>
      <c r="C45" s="301"/>
      <c r="D45" s="301"/>
      <c r="E45" s="89"/>
      <c r="F45" s="106"/>
      <c r="G45" s="106"/>
      <c r="H45" s="106" t="s">
        <v>938</v>
      </c>
      <c r="I45" s="106" t="s">
        <v>849</v>
      </c>
      <c r="J45" s="281" t="s">
        <v>939</v>
      </c>
      <c r="K45" s="89" t="s">
        <v>868</v>
      </c>
      <c r="L45" s="106"/>
      <c r="M45" s="89"/>
      <c r="N45" s="106"/>
      <c r="O45" s="106"/>
      <c r="P45" s="106"/>
      <c r="Q45" s="301"/>
      <c r="R45" s="301"/>
      <c r="S45" s="301"/>
      <c r="T45" s="301"/>
      <c r="U45" s="301"/>
      <c r="V45" s="301"/>
      <c r="W45" s="301"/>
      <c r="X45" s="301"/>
      <c r="Y45" s="301"/>
      <c r="Z45" s="301"/>
      <c r="AA45" s="301"/>
      <c r="AB45" s="301"/>
      <c r="AC45" s="301"/>
      <c r="AD45" s="301"/>
      <c r="AE45" s="301"/>
      <c r="AF45" s="301"/>
      <c r="AG45" s="301"/>
      <c r="AH45" s="93"/>
    </row>
    <row r="46" spans="1:37" s="9" customFormat="1">
      <c r="A46" s="301"/>
      <c r="B46" s="301"/>
      <c r="C46" s="301"/>
      <c r="D46" s="301"/>
      <c r="E46" s="89"/>
      <c r="F46" s="106"/>
      <c r="G46" s="106"/>
      <c r="H46" s="106" t="s">
        <v>940</v>
      </c>
      <c r="I46" s="106" t="s">
        <v>849</v>
      </c>
      <c r="J46" s="282" t="s">
        <v>941</v>
      </c>
      <c r="K46" s="274" t="s">
        <v>927</v>
      </c>
      <c r="L46" s="106"/>
      <c r="M46" s="89"/>
      <c r="N46" s="106"/>
      <c r="O46" s="106"/>
      <c r="P46" s="106"/>
      <c r="Q46" s="301"/>
      <c r="R46" s="301"/>
      <c r="S46" s="301"/>
      <c r="T46" s="301"/>
      <c r="U46" s="301"/>
      <c r="V46" s="301"/>
      <c r="W46" s="301"/>
      <c r="X46" s="301"/>
      <c r="Y46" s="301"/>
      <c r="Z46" s="301"/>
      <c r="AA46" s="301"/>
      <c r="AB46" s="301"/>
      <c r="AC46" s="301"/>
      <c r="AD46" s="301"/>
      <c r="AE46" s="301"/>
      <c r="AF46" s="301"/>
      <c r="AG46" s="301"/>
      <c r="AH46" s="93"/>
    </row>
    <row r="47" spans="1:37" s="9" customFormat="1">
      <c r="A47" s="301"/>
      <c r="B47" s="301"/>
      <c r="C47" s="301"/>
      <c r="D47" s="301"/>
      <c r="E47" s="89"/>
      <c r="F47" s="106"/>
      <c r="G47" s="106"/>
      <c r="H47" s="106" t="s">
        <v>942</v>
      </c>
      <c r="I47" s="106" t="s">
        <v>849</v>
      </c>
      <c r="J47" s="283" t="s">
        <v>943</v>
      </c>
      <c r="K47" s="284" t="s">
        <v>868</v>
      </c>
      <c r="L47" s="106"/>
      <c r="M47" s="89"/>
      <c r="N47" s="106"/>
      <c r="O47" s="106"/>
      <c r="P47" s="106"/>
      <c r="Q47" s="301"/>
      <c r="R47" s="301"/>
      <c r="S47" s="301"/>
      <c r="T47" s="301"/>
      <c r="U47" s="301"/>
      <c r="V47" s="301"/>
      <c r="W47" s="301"/>
      <c r="X47" s="301"/>
      <c r="Y47" s="301"/>
      <c r="Z47" s="301"/>
      <c r="AA47" s="301"/>
      <c r="AB47" s="301"/>
      <c r="AC47" s="301"/>
      <c r="AD47" s="301"/>
      <c r="AE47" s="301"/>
      <c r="AF47" s="301"/>
      <c r="AG47" s="301"/>
      <c r="AH47" s="93"/>
    </row>
    <row r="48" spans="1:37" s="9" customFormat="1">
      <c r="A48" s="301"/>
      <c r="B48" s="301"/>
      <c r="C48" s="301"/>
      <c r="D48" s="301"/>
      <c r="E48" s="89"/>
      <c r="F48" s="106"/>
      <c r="G48" s="106"/>
      <c r="H48" s="106" t="s">
        <v>944</v>
      </c>
      <c r="I48" s="106" t="s">
        <v>849</v>
      </c>
      <c r="J48" s="197" t="s">
        <v>945</v>
      </c>
      <c r="K48" s="269" t="s">
        <v>946</v>
      </c>
      <c r="L48" s="106"/>
      <c r="M48" s="89"/>
      <c r="N48" s="106"/>
      <c r="O48" s="106"/>
      <c r="P48" s="106"/>
      <c r="Q48" s="301"/>
      <c r="R48" s="301"/>
      <c r="S48" s="301"/>
      <c r="T48" s="301"/>
      <c r="U48" s="301"/>
      <c r="V48" s="301"/>
      <c r="W48" s="301"/>
      <c r="X48" s="301"/>
      <c r="Y48" s="301"/>
      <c r="Z48" s="301"/>
      <c r="AA48" s="301"/>
      <c r="AB48" s="301"/>
      <c r="AC48" s="301"/>
      <c r="AD48" s="301"/>
      <c r="AE48" s="301"/>
      <c r="AF48" s="301"/>
      <c r="AG48" s="301"/>
      <c r="AH48" s="93"/>
    </row>
    <row r="49" spans="1:37" s="9" customFormat="1">
      <c r="A49" s="301"/>
      <c r="B49" s="301"/>
      <c r="C49" s="301"/>
      <c r="D49" s="301"/>
      <c r="E49" s="89"/>
      <c r="F49" s="106"/>
      <c r="G49" s="106"/>
      <c r="H49" s="106" t="s">
        <v>947</v>
      </c>
      <c r="I49" s="89" t="s">
        <v>868</v>
      </c>
      <c r="J49" s="78" t="s">
        <v>948</v>
      </c>
      <c r="K49" s="89" t="s">
        <v>849</v>
      </c>
      <c r="L49" s="106"/>
      <c r="M49" s="89"/>
      <c r="N49" s="106"/>
      <c r="O49" s="106"/>
      <c r="P49" s="106"/>
      <c r="Q49" s="301"/>
      <c r="R49" s="301"/>
      <c r="S49" s="301"/>
      <c r="T49" s="301"/>
      <c r="U49" s="301"/>
      <c r="V49" s="301"/>
      <c r="W49" s="301"/>
      <c r="X49" s="301"/>
      <c r="Y49" s="301"/>
      <c r="Z49" s="301"/>
      <c r="AA49" s="301"/>
      <c r="AB49" s="301"/>
      <c r="AC49" s="301"/>
      <c r="AD49" s="301"/>
      <c r="AE49" s="301"/>
      <c r="AF49" s="301"/>
      <c r="AG49" s="301"/>
      <c r="AH49" s="93"/>
    </row>
    <row r="50" spans="1:37" s="9" customFormat="1">
      <c r="A50" s="301"/>
      <c r="B50" s="301"/>
      <c r="C50" s="301"/>
      <c r="D50" s="301"/>
      <c r="E50" s="89"/>
      <c r="F50" s="106"/>
      <c r="G50" s="106"/>
      <c r="H50" s="106" t="s">
        <v>949</v>
      </c>
      <c r="I50" s="89" t="s">
        <v>868</v>
      </c>
      <c r="J50" s="78" t="s">
        <v>950</v>
      </c>
      <c r="K50" s="89" t="s">
        <v>849</v>
      </c>
      <c r="L50" s="106"/>
      <c r="M50" s="89"/>
      <c r="N50" s="106"/>
      <c r="O50" s="106"/>
      <c r="P50" s="106"/>
      <c r="Q50" s="301"/>
      <c r="R50" s="301"/>
      <c r="S50" s="301"/>
      <c r="T50" s="301"/>
      <c r="U50" s="301"/>
      <c r="V50" s="301"/>
      <c r="W50" s="301"/>
      <c r="X50" s="301"/>
      <c r="Y50" s="301"/>
      <c r="Z50" s="301"/>
      <c r="AA50" s="301"/>
      <c r="AB50" s="301"/>
      <c r="AC50" s="301"/>
      <c r="AD50" s="301"/>
      <c r="AE50" s="301"/>
      <c r="AF50" s="301"/>
      <c r="AG50" s="301"/>
      <c r="AH50" s="93"/>
    </row>
    <row r="51" spans="1:37" s="9" customFormat="1">
      <c r="A51" s="301"/>
      <c r="B51" s="301"/>
      <c r="C51" s="301"/>
      <c r="D51" s="301"/>
      <c r="E51" s="89"/>
      <c r="F51" s="106"/>
      <c r="G51" s="106"/>
      <c r="H51" s="106" t="s">
        <v>951</v>
      </c>
      <c r="I51" s="89" t="s">
        <v>868</v>
      </c>
      <c r="J51" s="78" t="s">
        <v>952</v>
      </c>
      <c r="K51" s="89" t="s">
        <v>849</v>
      </c>
      <c r="L51" s="106"/>
      <c r="M51" s="89"/>
      <c r="N51" s="106"/>
      <c r="O51" s="106"/>
      <c r="P51" s="106"/>
      <c r="Q51" s="301"/>
      <c r="R51" s="301"/>
      <c r="S51" s="301"/>
      <c r="T51" s="301"/>
      <c r="U51" s="301"/>
      <c r="V51" s="301"/>
      <c r="W51" s="301"/>
      <c r="X51" s="301"/>
      <c r="Y51" s="301"/>
      <c r="Z51" s="301"/>
      <c r="AA51" s="301"/>
      <c r="AB51" s="301"/>
      <c r="AC51" s="301"/>
      <c r="AD51" s="301"/>
      <c r="AE51" s="301"/>
      <c r="AF51" s="301"/>
      <c r="AG51" s="301"/>
      <c r="AH51" s="93"/>
    </row>
    <row r="52" spans="1:37" s="9" customFormat="1">
      <c r="A52" s="301"/>
      <c r="B52" s="301"/>
      <c r="C52" s="301"/>
      <c r="D52" s="301"/>
      <c r="E52" s="89"/>
      <c r="F52" s="106"/>
      <c r="G52" s="106"/>
      <c r="H52" s="106" t="s">
        <v>953</v>
      </c>
      <c r="I52" s="89" t="s">
        <v>868</v>
      </c>
      <c r="J52" s="258" t="s">
        <v>954</v>
      </c>
      <c r="K52" s="89" t="s">
        <v>849</v>
      </c>
      <c r="L52" s="106"/>
      <c r="M52" s="89"/>
      <c r="N52" s="106"/>
      <c r="O52" s="106"/>
      <c r="P52" s="106"/>
      <c r="Q52" s="301"/>
      <c r="R52" s="301"/>
      <c r="S52" s="301"/>
      <c r="T52" s="301"/>
      <c r="U52" s="301"/>
      <c r="V52" s="301"/>
      <c r="W52" s="301"/>
      <c r="X52" s="301"/>
      <c r="Y52" s="301"/>
      <c r="Z52" s="301"/>
      <c r="AA52" s="301"/>
      <c r="AB52" s="301"/>
      <c r="AC52" s="301"/>
      <c r="AD52" s="301"/>
      <c r="AE52" s="301"/>
      <c r="AF52" s="301"/>
      <c r="AG52" s="301"/>
      <c r="AH52" s="93"/>
    </row>
    <row r="53" spans="1:37" s="9" customFormat="1">
      <c r="A53" s="301"/>
      <c r="B53" s="301"/>
      <c r="C53" s="301"/>
      <c r="D53" s="301"/>
      <c r="E53" s="89"/>
      <c r="F53" s="106"/>
      <c r="G53" s="106"/>
      <c r="H53" s="106"/>
      <c r="I53" s="301"/>
      <c r="J53" s="283" t="s">
        <v>955</v>
      </c>
      <c r="K53" s="89" t="s">
        <v>868</v>
      </c>
      <c r="L53" s="106"/>
      <c r="M53" s="89"/>
      <c r="N53" s="106"/>
      <c r="O53" s="106"/>
      <c r="P53" s="106"/>
      <c r="Q53" s="301"/>
      <c r="R53" s="301"/>
      <c r="S53" s="301"/>
      <c r="T53" s="301"/>
      <c r="U53" s="301"/>
      <c r="V53" s="301"/>
      <c r="W53" s="301"/>
      <c r="X53" s="301"/>
      <c r="Y53" s="301"/>
      <c r="Z53" s="301"/>
      <c r="AA53" s="301"/>
      <c r="AB53" s="301"/>
      <c r="AC53" s="301"/>
      <c r="AD53" s="301"/>
      <c r="AE53" s="301"/>
      <c r="AF53" s="301"/>
      <c r="AG53" s="301"/>
      <c r="AH53" s="93"/>
    </row>
    <row r="54" spans="1:37" s="9" customFormat="1">
      <c r="A54" s="301"/>
      <c r="B54" s="301"/>
      <c r="C54" s="301"/>
      <c r="D54" s="301"/>
      <c r="E54" s="89"/>
      <c r="F54" s="106"/>
      <c r="G54" s="106"/>
      <c r="H54" s="106"/>
      <c r="I54" s="301"/>
      <c r="J54" s="283" t="s">
        <v>956</v>
      </c>
      <c r="K54" s="89" t="s">
        <v>868</v>
      </c>
      <c r="L54" s="106"/>
      <c r="M54" s="89"/>
      <c r="N54" s="106"/>
      <c r="O54" s="106"/>
      <c r="P54" s="106"/>
      <c r="Q54" s="301"/>
      <c r="R54" s="301"/>
      <c r="S54" s="301"/>
      <c r="T54" s="301"/>
      <c r="U54" s="301"/>
      <c r="V54" s="301"/>
      <c r="W54" s="301"/>
      <c r="X54" s="301"/>
      <c r="Y54" s="301"/>
      <c r="Z54" s="301"/>
      <c r="AA54" s="301"/>
      <c r="AB54" s="301"/>
      <c r="AC54" s="301"/>
      <c r="AD54" s="301"/>
      <c r="AE54" s="301"/>
      <c r="AF54" s="301"/>
      <c r="AG54" s="301"/>
      <c r="AH54" s="93"/>
    </row>
    <row r="55" spans="1:37" s="9" customFormat="1">
      <c r="A55" s="301"/>
      <c r="B55" s="301"/>
      <c r="C55" s="301"/>
      <c r="D55" s="301"/>
      <c r="E55" s="89"/>
      <c r="F55" s="106"/>
      <c r="G55" s="106"/>
      <c r="H55" s="106"/>
      <c r="I55" s="301"/>
      <c r="J55" s="275" t="s">
        <v>957</v>
      </c>
      <c r="K55" s="89" t="s">
        <v>868</v>
      </c>
      <c r="L55" s="106"/>
      <c r="M55" s="89"/>
      <c r="N55" s="106"/>
      <c r="O55" s="106"/>
      <c r="P55" s="106"/>
      <c r="Q55" s="301"/>
      <c r="R55" s="301"/>
      <c r="S55" s="301"/>
      <c r="T55" s="301"/>
      <c r="U55" s="301"/>
      <c r="V55" s="301"/>
      <c r="W55" s="301"/>
      <c r="X55" s="301"/>
      <c r="Y55" s="301"/>
      <c r="Z55" s="301"/>
      <c r="AA55" s="301"/>
      <c r="AB55" s="301"/>
      <c r="AC55" s="301"/>
      <c r="AD55" s="301"/>
      <c r="AE55" s="301"/>
      <c r="AF55" s="301"/>
      <c r="AG55" s="301"/>
      <c r="AH55" s="93"/>
    </row>
    <row r="56" spans="1:37" s="9" customFormat="1">
      <c r="A56" s="301"/>
      <c r="B56" s="301"/>
      <c r="C56" s="301"/>
      <c r="D56" s="301"/>
      <c r="E56" s="89"/>
      <c r="F56" s="106"/>
      <c r="G56" s="106"/>
      <c r="H56" s="106"/>
      <c r="I56" s="301"/>
      <c r="J56" s="283" t="s">
        <v>958</v>
      </c>
      <c r="K56" s="89" t="s">
        <v>868</v>
      </c>
      <c r="L56" s="106"/>
      <c r="M56" s="89"/>
      <c r="N56" s="106"/>
      <c r="O56" s="106"/>
      <c r="P56" s="106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1"/>
      <c r="AB56" s="301"/>
      <c r="AC56" s="301"/>
      <c r="AD56" s="301"/>
      <c r="AE56" s="301"/>
      <c r="AF56" s="301"/>
      <c r="AG56" s="301"/>
      <c r="AH56" s="93"/>
    </row>
    <row r="57" spans="1:37" s="9" customFormat="1">
      <c r="A57" s="301"/>
      <c r="B57" s="301"/>
      <c r="C57" s="301"/>
      <c r="D57" s="301"/>
      <c r="E57" s="89"/>
      <c r="F57" s="106"/>
      <c r="G57" s="106"/>
      <c r="H57" s="106"/>
      <c r="I57" s="301"/>
      <c r="J57" s="89"/>
      <c r="K57" s="89"/>
      <c r="L57" s="106"/>
      <c r="M57" s="89"/>
      <c r="N57" s="106"/>
      <c r="O57" s="106"/>
      <c r="P57" s="106"/>
      <c r="Q57" s="301"/>
      <c r="R57" s="301"/>
      <c r="S57" s="301"/>
      <c r="T57" s="301"/>
      <c r="U57" s="301"/>
      <c r="V57" s="301"/>
      <c r="W57" s="301"/>
      <c r="X57" s="301"/>
      <c r="Y57" s="301"/>
      <c r="Z57" s="301"/>
      <c r="AA57" s="301"/>
      <c r="AB57" s="301"/>
      <c r="AC57" s="301"/>
      <c r="AD57" s="301"/>
      <c r="AE57" s="301"/>
      <c r="AF57" s="301"/>
      <c r="AG57" s="301"/>
      <c r="AH57" s="93"/>
    </row>
    <row r="58" spans="1:37" s="9" customFormat="1">
      <c r="A58" s="301"/>
      <c r="B58" s="301"/>
      <c r="C58" s="301"/>
      <c r="D58" s="301"/>
      <c r="E58" s="89"/>
      <c r="F58" s="106"/>
      <c r="G58" s="106"/>
      <c r="H58" s="106"/>
      <c r="I58" s="301"/>
      <c r="J58" s="89"/>
      <c r="K58" s="89"/>
      <c r="L58" s="106"/>
      <c r="M58" s="89"/>
      <c r="N58" s="106"/>
      <c r="O58" s="106"/>
      <c r="P58" s="106"/>
      <c r="Q58" s="301"/>
      <c r="R58" s="301"/>
      <c r="S58" s="301"/>
      <c r="T58" s="301"/>
      <c r="U58" s="301"/>
      <c r="V58" s="301"/>
      <c r="W58" s="301"/>
      <c r="X58" s="301"/>
      <c r="Y58" s="301"/>
      <c r="Z58" s="301"/>
      <c r="AA58" s="301"/>
      <c r="AB58" s="301"/>
      <c r="AC58" s="301"/>
      <c r="AD58" s="301"/>
      <c r="AE58" s="301"/>
      <c r="AF58" s="301"/>
      <c r="AG58" s="301"/>
      <c r="AH58" s="93"/>
    </row>
    <row r="59" spans="1:37" s="9" customFormat="1">
      <c r="A59" s="301"/>
      <c r="B59" s="301"/>
      <c r="C59" s="301"/>
      <c r="D59" s="301"/>
      <c r="E59" s="89"/>
      <c r="F59" s="106"/>
      <c r="G59" s="106"/>
      <c r="H59" s="106"/>
      <c r="I59" s="301"/>
      <c r="J59" s="89"/>
      <c r="K59" s="89"/>
      <c r="L59" s="106"/>
      <c r="M59" s="89"/>
      <c r="N59" s="106"/>
      <c r="O59" s="106"/>
      <c r="P59" s="106"/>
      <c r="Q59" s="301"/>
      <c r="R59" s="301"/>
      <c r="S59" s="301"/>
      <c r="T59" s="301"/>
      <c r="U59" s="301"/>
      <c r="V59" s="301"/>
      <c r="W59" s="301"/>
      <c r="X59" s="301"/>
      <c r="Y59" s="301"/>
      <c r="Z59" s="301"/>
      <c r="AA59" s="301"/>
      <c r="AB59" s="301"/>
      <c r="AC59" s="301"/>
      <c r="AD59" s="301"/>
      <c r="AE59" s="301"/>
      <c r="AF59" s="301"/>
      <c r="AG59" s="301"/>
      <c r="AH59" s="93"/>
    </row>
    <row r="60" spans="1:37" s="9" customFormat="1">
      <c r="A60" s="301"/>
      <c r="B60" s="301"/>
      <c r="C60" s="301"/>
      <c r="D60" s="301"/>
      <c r="E60" s="89"/>
      <c r="F60" s="106"/>
      <c r="G60" s="106"/>
      <c r="H60" s="106"/>
      <c r="I60" s="301"/>
      <c r="J60" s="89"/>
      <c r="K60" s="89"/>
      <c r="L60" s="106"/>
      <c r="M60" s="89"/>
      <c r="N60" s="106"/>
      <c r="O60" s="106"/>
      <c r="P60" s="106"/>
      <c r="Q60" s="301"/>
      <c r="R60" s="301"/>
      <c r="S60" s="301"/>
      <c r="T60" s="301"/>
      <c r="U60" s="301"/>
      <c r="V60" s="301"/>
      <c r="W60" s="301"/>
      <c r="X60" s="301"/>
      <c r="Y60" s="301"/>
      <c r="Z60" s="301"/>
      <c r="AA60" s="301"/>
      <c r="AB60" s="301"/>
      <c r="AC60" s="301"/>
      <c r="AD60" s="301"/>
      <c r="AE60" s="301"/>
      <c r="AF60" s="301"/>
      <c r="AG60" s="301"/>
      <c r="AH60" s="93"/>
    </row>
    <row r="61" spans="1:37" s="9" customFormat="1">
      <c r="A61" s="301"/>
      <c r="B61" s="301"/>
      <c r="C61" s="301"/>
      <c r="D61" s="301"/>
      <c r="E61" s="89"/>
      <c r="F61" s="106"/>
      <c r="G61" s="106"/>
      <c r="H61" s="106"/>
      <c r="I61" s="301"/>
      <c r="J61" s="89"/>
      <c r="K61" s="89"/>
      <c r="L61" s="106"/>
      <c r="M61" s="89"/>
      <c r="N61" s="106"/>
      <c r="O61" s="106"/>
      <c r="P61" s="106"/>
      <c r="Q61" s="301"/>
      <c r="R61" s="301"/>
      <c r="S61" s="301"/>
      <c r="T61" s="301"/>
      <c r="U61" s="301"/>
      <c r="V61" s="301"/>
      <c r="W61" s="301"/>
      <c r="X61" s="301"/>
      <c r="Y61" s="301"/>
      <c r="Z61" s="301"/>
      <c r="AA61" s="301"/>
      <c r="AB61" s="301"/>
      <c r="AC61" s="301"/>
      <c r="AD61" s="301"/>
      <c r="AE61" s="301"/>
      <c r="AF61" s="301"/>
      <c r="AG61" s="301"/>
      <c r="AH61" s="93"/>
    </row>
    <row r="62" spans="1:37" s="9" customFormat="1">
      <c r="A62" s="301"/>
      <c r="B62" s="301"/>
      <c r="C62" s="301"/>
      <c r="D62" s="301"/>
      <c r="E62" s="89"/>
      <c r="F62" s="106"/>
      <c r="G62" s="106"/>
      <c r="H62" s="106"/>
      <c r="I62" s="301"/>
      <c r="J62" s="89"/>
      <c r="K62" s="89"/>
      <c r="L62" s="106"/>
      <c r="M62" s="89"/>
      <c r="N62" s="106"/>
      <c r="O62" s="106"/>
      <c r="P62" s="106"/>
      <c r="Q62" s="301"/>
      <c r="R62" s="301"/>
      <c r="S62" s="301"/>
      <c r="T62" s="301"/>
      <c r="U62" s="301"/>
      <c r="V62" s="301"/>
      <c r="W62" s="301"/>
      <c r="X62" s="301"/>
      <c r="Y62" s="301"/>
      <c r="Z62" s="301"/>
      <c r="AA62" s="301"/>
      <c r="AB62" s="301"/>
      <c r="AC62" s="301"/>
      <c r="AD62" s="301"/>
      <c r="AE62" s="301"/>
      <c r="AF62" s="301"/>
      <c r="AG62" s="301"/>
      <c r="AH62" s="93"/>
    </row>
    <row r="63" spans="1:37" s="9" customFormat="1" ht="45">
      <c r="A63" s="14" t="s">
        <v>97</v>
      </c>
      <c r="B63" s="229" t="s">
        <v>97</v>
      </c>
      <c r="C63" s="31" t="s">
        <v>705</v>
      </c>
      <c r="D63" s="31"/>
      <c r="E63" s="12" t="s">
        <v>737</v>
      </c>
      <c r="F63" s="1" t="s">
        <v>103</v>
      </c>
      <c r="G63" s="12" t="s">
        <v>14</v>
      </c>
      <c r="H63" s="55" t="s">
        <v>11</v>
      </c>
      <c r="I63" s="14" t="s">
        <v>101</v>
      </c>
      <c r="J63" s="12" t="s">
        <v>112</v>
      </c>
      <c r="K63" s="1" t="s">
        <v>103</v>
      </c>
      <c r="L63" s="12"/>
      <c r="M63" s="65" t="s">
        <v>738</v>
      </c>
      <c r="N63" s="55"/>
      <c r="O63" s="1"/>
      <c r="P63" s="1"/>
      <c r="Q63" s="1" t="s">
        <v>105</v>
      </c>
      <c r="R63" s="1"/>
      <c r="S63" s="1"/>
      <c r="T63" s="1"/>
      <c r="U63" s="1" t="s">
        <v>105</v>
      </c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61"/>
    </row>
    <row r="64" spans="1:37" s="9" customFormat="1" ht="75">
      <c r="A64" s="14" t="s">
        <v>97</v>
      </c>
      <c r="B64" s="229" t="s">
        <v>97</v>
      </c>
      <c r="C64" s="31" t="s">
        <v>705</v>
      </c>
      <c r="D64" s="31"/>
      <c r="E64" s="12" t="s">
        <v>739</v>
      </c>
      <c r="F64" s="12" t="s">
        <v>672</v>
      </c>
      <c r="G64" s="12" t="s">
        <v>14</v>
      </c>
      <c r="H64" s="55" t="s">
        <v>11</v>
      </c>
      <c r="I64" s="1" t="s">
        <v>101</v>
      </c>
      <c r="J64" s="12" t="s">
        <v>112</v>
      </c>
      <c r="K64" s="12" t="s">
        <v>107</v>
      </c>
      <c r="L64" s="12"/>
      <c r="M64" s="65" t="s">
        <v>740</v>
      </c>
      <c r="N64" s="55"/>
      <c r="O64" s="1"/>
      <c r="P64" s="1"/>
      <c r="Q64" s="1"/>
      <c r="R64" s="1"/>
      <c r="S64" s="1"/>
      <c r="T64" s="14" t="s">
        <v>105</v>
      </c>
      <c r="U64" s="1" t="s">
        <v>105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61"/>
      <c r="AK64" s="9" t="s">
        <v>702</v>
      </c>
    </row>
    <row r="65" spans="1:37" s="9" customFormat="1">
      <c r="A65" s="301"/>
      <c r="B65" s="301"/>
      <c r="C65" s="301"/>
      <c r="D65" s="301"/>
      <c r="E65" s="89"/>
      <c r="F65" s="106"/>
      <c r="G65" s="106"/>
      <c r="H65" s="106"/>
      <c r="I65" s="301"/>
      <c r="J65" s="89"/>
      <c r="K65" s="89"/>
      <c r="L65" s="106"/>
      <c r="M65" s="89"/>
      <c r="N65" s="106"/>
      <c r="O65" s="106"/>
      <c r="P65" s="106"/>
      <c r="Q65" s="301"/>
      <c r="R65" s="301"/>
      <c r="S65" s="301"/>
      <c r="T65" s="301"/>
      <c r="U65" s="301"/>
      <c r="V65" s="301"/>
      <c r="W65" s="301"/>
      <c r="X65" s="301"/>
      <c r="Y65" s="301"/>
      <c r="Z65" s="301"/>
      <c r="AA65" s="301"/>
      <c r="AB65" s="301"/>
      <c r="AC65" s="301"/>
      <c r="AD65" s="301"/>
      <c r="AE65" s="301"/>
      <c r="AF65" s="301"/>
      <c r="AG65" s="301"/>
      <c r="AH65" s="93"/>
      <c r="AK65" s="9" t="s">
        <v>685</v>
      </c>
    </row>
    <row r="66" spans="1:37" s="9" customFormat="1">
      <c r="A66" s="301"/>
      <c r="B66" s="301"/>
      <c r="C66" s="301"/>
      <c r="D66" s="301"/>
      <c r="E66" s="89"/>
      <c r="F66" s="106"/>
      <c r="G66" s="106"/>
      <c r="H66" s="106"/>
      <c r="I66" s="301"/>
      <c r="J66" s="89"/>
      <c r="K66" s="89"/>
      <c r="L66" s="106"/>
      <c r="M66" s="89"/>
      <c r="N66" s="106"/>
      <c r="O66" s="106"/>
      <c r="P66" s="106"/>
      <c r="Q66" s="301"/>
      <c r="R66" s="301"/>
      <c r="S66" s="301"/>
      <c r="T66" s="301"/>
      <c r="U66" s="301"/>
      <c r="V66" s="301"/>
      <c r="W66" s="301"/>
      <c r="X66" s="301"/>
      <c r="Y66" s="301"/>
      <c r="Z66" s="301"/>
      <c r="AA66" s="301"/>
      <c r="AB66" s="301"/>
      <c r="AC66" s="301"/>
      <c r="AD66" s="301"/>
      <c r="AE66" s="301"/>
      <c r="AF66" s="301"/>
      <c r="AG66" s="301"/>
      <c r="AH66" s="93"/>
    </row>
    <row r="67" spans="1:37" s="9" customFormat="1" ht="45">
      <c r="A67" s="14" t="s">
        <v>97</v>
      </c>
      <c r="B67" s="59" t="s">
        <v>97</v>
      </c>
      <c r="C67" s="14" t="s">
        <v>779</v>
      </c>
      <c r="D67" s="14"/>
      <c r="E67" s="13" t="s">
        <v>780</v>
      </c>
      <c r="F67" s="13" t="s">
        <v>731</v>
      </c>
      <c r="G67" s="12" t="s">
        <v>14</v>
      </c>
      <c r="H67" s="55" t="s">
        <v>11</v>
      </c>
      <c r="I67" s="1" t="s">
        <v>145</v>
      </c>
      <c r="J67" s="12" t="s">
        <v>119</v>
      </c>
      <c r="K67" s="12" t="s">
        <v>107</v>
      </c>
      <c r="L67" s="12"/>
      <c r="M67" s="12" t="s">
        <v>147</v>
      </c>
      <c r="N67" s="55"/>
      <c r="O67" s="55"/>
      <c r="P67" s="55"/>
      <c r="Q67" s="55"/>
      <c r="R67" s="55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61"/>
    </row>
    <row r="68" spans="1:37" s="9" customFormat="1" ht="45">
      <c r="A68" s="14" t="s">
        <v>97</v>
      </c>
      <c r="B68" s="59" t="s">
        <v>97</v>
      </c>
      <c r="C68" s="14" t="s">
        <v>781</v>
      </c>
      <c r="D68" s="14"/>
      <c r="E68" s="13" t="s">
        <v>782</v>
      </c>
      <c r="F68" s="13" t="s">
        <v>731</v>
      </c>
      <c r="G68" s="12" t="s">
        <v>14</v>
      </c>
      <c r="H68" s="55" t="s">
        <v>11</v>
      </c>
      <c r="I68" s="1" t="s">
        <v>145</v>
      </c>
      <c r="J68" s="12" t="s">
        <v>119</v>
      </c>
      <c r="K68" s="12" t="s">
        <v>107</v>
      </c>
      <c r="L68" s="12"/>
      <c r="M68" s="12" t="s">
        <v>147</v>
      </c>
      <c r="N68" s="55"/>
      <c r="O68" s="55"/>
      <c r="P68" s="55"/>
      <c r="Q68" s="55"/>
      <c r="R68" s="55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61"/>
      <c r="AK68" s="9" t="s">
        <v>705</v>
      </c>
    </row>
    <row r="69" spans="1:37" s="9" customFormat="1" ht="45">
      <c r="A69" s="14" t="s">
        <v>97</v>
      </c>
      <c r="B69" s="59" t="s">
        <v>97</v>
      </c>
      <c r="C69" s="31" t="s">
        <v>776</v>
      </c>
      <c r="D69" s="31"/>
      <c r="E69" s="13" t="s">
        <v>777</v>
      </c>
      <c r="F69" s="13" t="s">
        <v>731</v>
      </c>
      <c r="G69" s="12" t="s">
        <v>14</v>
      </c>
      <c r="H69" s="55" t="s">
        <v>11</v>
      </c>
      <c r="I69" s="1" t="s">
        <v>145</v>
      </c>
      <c r="J69" s="12" t="s">
        <v>119</v>
      </c>
      <c r="K69" s="12" t="s">
        <v>107</v>
      </c>
      <c r="L69" s="12"/>
      <c r="M69" s="12" t="s">
        <v>147</v>
      </c>
      <c r="N69" s="55"/>
      <c r="O69" s="55"/>
      <c r="P69" s="55"/>
      <c r="Q69" s="55"/>
      <c r="R69" s="55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61"/>
      <c r="AK69" s="9" t="s">
        <v>741</v>
      </c>
    </row>
    <row r="70" spans="1:37" s="9" customFormat="1" ht="75">
      <c r="A70" s="14" t="s">
        <v>97</v>
      </c>
      <c r="B70" s="229" t="s">
        <v>97</v>
      </c>
      <c r="C70" s="31" t="s">
        <v>685</v>
      </c>
      <c r="D70" s="31"/>
      <c r="E70" s="12" t="s">
        <v>699</v>
      </c>
      <c r="F70" s="12" t="s">
        <v>672</v>
      </c>
      <c r="G70" s="12" t="s">
        <v>673</v>
      </c>
      <c r="H70" s="55" t="s">
        <v>14</v>
      </c>
      <c r="I70" s="14" t="s">
        <v>101</v>
      </c>
      <c r="J70" s="12" t="s">
        <v>103</v>
      </c>
      <c r="K70" s="12" t="s">
        <v>107</v>
      </c>
      <c r="L70" s="12"/>
      <c r="M70" s="65" t="s">
        <v>676</v>
      </c>
      <c r="N70" s="5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61"/>
      <c r="AK70" s="1" t="s">
        <v>728</v>
      </c>
    </row>
    <row r="71" spans="1:37" s="9" customFormat="1" ht="90">
      <c r="A71" s="14" t="s">
        <v>97</v>
      </c>
      <c r="B71" s="229"/>
      <c r="C71" s="31" t="s">
        <v>681</v>
      </c>
      <c r="D71" s="31"/>
      <c r="E71" s="12" t="s">
        <v>683</v>
      </c>
      <c r="F71" s="12" t="s">
        <v>684</v>
      </c>
      <c r="G71" s="12" t="s">
        <v>673</v>
      </c>
      <c r="H71" s="55" t="s">
        <v>14</v>
      </c>
      <c r="I71" s="14" t="s">
        <v>101</v>
      </c>
      <c r="J71" s="12" t="s">
        <v>103</v>
      </c>
      <c r="K71" s="12" t="s">
        <v>107</v>
      </c>
      <c r="L71" s="12"/>
      <c r="M71" s="65" t="s">
        <v>676</v>
      </c>
      <c r="N71" s="5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61"/>
      <c r="AK71" s="9" t="s">
        <v>685</v>
      </c>
    </row>
    <row r="72" spans="1:37" s="9" customFormat="1" ht="75">
      <c r="A72" s="14" t="s">
        <v>97</v>
      </c>
      <c r="B72" s="229" t="s">
        <v>97</v>
      </c>
      <c r="C72" s="31" t="s">
        <v>681</v>
      </c>
      <c r="D72" s="31"/>
      <c r="E72" s="12" t="s">
        <v>682</v>
      </c>
      <c r="F72" s="12" t="s">
        <v>668</v>
      </c>
      <c r="G72" s="12" t="s">
        <v>673</v>
      </c>
      <c r="H72" s="55" t="s">
        <v>14</v>
      </c>
      <c r="I72" s="14" t="s">
        <v>101</v>
      </c>
      <c r="J72" s="12" t="s">
        <v>103</v>
      </c>
      <c r="K72" s="12" t="s">
        <v>107</v>
      </c>
      <c r="L72" s="12"/>
      <c r="M72" s="12" t="s">
        <v>676</v>
      </c>
      <c r="N72" s="55"/>
      <c r="O72" s="55"/>
      <c r="P72" s="55"/>
      <c r="Q72" s="55"/>
      <c r="R72" s="55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61"/>
      <c r="AK72" s="9" t="s">
        <v>681</v>
      </c>
    </row>
    <row r="73" spans="1:37" s="9" customFormat="1" ht="75">
      <c r="A73" s="14" t="s">
        <v>97</v>
      </c>
      <c r="B73" s="229" t="s">
        <v>97</v>
      </c>
      <c r="C73" s="1" t="s">
        <v>728</v>
      </c>
      <c r="D73" s="1"/>
      <c r="E73" s="326" t="s">
        <v>729</v>
      </c>
      <c r="F73" s="12" t="s">
        <v>409</v>
      </c>
      <c r="G73" s="1" t="s">
        <v>12</v>
      </c>
      <c r="H73" s="55" t="s">
        <v>11</v>
      </c>
      <c r="I73" s="14" t="s">
        <v>145</v>
      </c>
      <c r="J73" s="12" t="s">
        <v>151</v>
      </c>
      <c r="K73" s="12" t="s">
        <v>107</v>
      </c>
      <c r="L73" s="12"/>
      <c r="M73" s="65" t="s">
        <v>147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61"/>
      <c r="AK73" s="9" t="s">
        <v>681</v>
      </c>
    </row>
    <row r="74" spans="1:37" s="9" customFormat="1" ht="75">
      <c r="A74" s="14" t="s">
        <v>97</v>
      </c>
      <c r="B74" s="229" t="s">
        <v>97</v>
      </c>
      <c r="C74" s="31" t="s">
        <v>662</v>
      </c>
      <c r="D74" s="31" t="s">
        <v>849</v>
      </c>
      <c r="E74" s="12" t="s">
        <v>764</v>
      </c>
      <c r="F74" s="12" t="s">
        <v>684</v>
      </c>
      <c r="G74" s="12" t="s">
        <v>673</v>
      </c>
      <c r="H74" s="55" t="s">
        <v>14</v>
      </c>
      <c r="I74" s="1" t="s">
        <v>101</v>
      </c>
      <c r="J74" s="12" t="s">
        <v>103</v>
      </c>
      <c r="K74" s="12" t="s">
        <v>674</v>
      </c>
      <c r="L74" s="12"/>
      <c r="M74" s="65" t="s">
        <v>676</v>
      </c>
      <c r="N74" s="5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61"/>
      <c r="AK74" s="9" t="s">
        <v>702</v>
      </c>
    </row>
    <row r="75" spans="1:37" s="9" customFormat="1" ht="75">
      <c r="A75" s="14" t="s">
        <v>97</v>
      </c>
      <c r="B75" s="59" t="s">
        <v>97</v>
      </c>
      <c r="C75" s="31" t="s">
        <v>685</v>
      </c>
      <c r="D75" s="31"/>
      <c r="E75" s="13" t="s">
        <v>690</v>
      </c>
      <c r="F75" s="13" t="s">
        <v>687</v>
      </c>
      <c r="G75" s="12" t="s">
        <v>673</v>
      </c>
      <c r="H75" s="55" t="s">
        <v>14</v>
      </c>
      <c r="I75" s="14" t="s">
        <v>101</v>
      </c>
      <c r="J75" s="12" t="s">
        <v>112</v>
      </c>
      <c r="K75" s="12" t="s">
        <v>107</v>
      </c>
      <c r="L75" s="55" t="s">
        <v>691</v>
      </c>
      <c r="M75" s="65" t="s">
        <v>676</v>
      </c>
      <c r="N75" s="55"/>
      <c r="O75" s="55"/>
      <c r="P75" s="55"/>
      <c r="Q75" s="55"/>
      <c r="R75" s="55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61"/>
      <c r="AK75" s="9" t="s">
        <v>733</v>
      </c>
    </row>
    <row r="76" spans="1:37" s="9" customFormat="1">
      <c r="A76" s="301"/>
      <c r="B76" s="301"/>
      <c r="C76" s="301"/>
      <c r="D76" s="301"/>
      <c r="E76" s="89"/>
      <c r="F76" s="106"/>
      <c r="G76" s="106"/>
      <c r="H76" s="106"/>
      <c r="I76" s="301"/>
      <c r="J76" s="89"/>
      <c r="K76" s="89"/>
      <c r="L76" s="106"/>
      <c r="M76" s="89"/>
      <c r="N76" s="106"/>
      <c r="O76" s="106"/>
      <c r="P76" s="106"/>
      <c r="Q76" s="301"/>
      <c r="R76" s="301"/>
      <c r="S76" s="301"/>
      <c r="T76" s="301"/>
      <c r="U76" s="301"/>
      <c r="V76" s="301"/>
      <c r="W76" s="301"/>
      <c r="X76" s="301"/>
      <c r="Y76" s="301"/>
      <c r="Z76" s="301"/>
      <c r="AA76" s="301"/>
      <c r="AB76" s="301"/>
      <c r="AC76" s="301"/>
      <c r="AD76" s="301"/>
      <c r="AE76" s="301"/>
      <c r="AF76" s="301"/>
      <c r="AG76" s="301"/>
      <c r="AH76" s="93"/>
      <c r="AK76" s="9" t="s">
        <v>685</v>
      </c>
    </row>
    <row r="77" spans="1:37" s="9" customFormat="1">
      <c r="A77" s="301"/>
      <c r="B77" s="301"/>
      <c r="C77" s="301"/>
      <c r="D77" s="301"/>
      <c r="E77" s="89"/>
      <c r="F77" s="106"/>
      <c r="G77" s="106"/>
      <c r="H77" s="106"/>
      <c r="I77" s="301"/>
      <c r="J77" s="89"/>
      <c r="K77" s="89"/>
      <c r="L77" s="106"/>
      <c r="M77" s="89"/>
      <c r="N77" s="106"/>
      <c r="O77" s="106"/>
      <c r="P77" s="106"/>
      <c r="Q77" s="301"/>
      <c r="R77" s="301"/>
      <c r="S77" s="301"/>
      <c r="T77" s="301"/>
      <c r="U77" s="301"/>
      <c r="V77" s="301"/>
      <c r="W77" s="301"/>
      <c r="X77" s="301"/>
      <c r="Y77" s="301"/>
      <c r="Z77" s="301"/>
      <c r="AA77" s="301"/>
      <c r="AB77" s="301"/>
      <c r="AC77" s="301"/>
      <c r="AD77" s="301"/>
      <c r="AE77" s="301"/>
      <c r="AF77" s="301"/>
      <c r="AG77" s="301"/>
      <c r="AH77" s="93"/>
    </row>
  </sheetData>
  <phoneticPr fontId="29" type="noConversion"/>
  <conditionalFormatting sqref="B2:D56">
    <cfRule type="duplicateValues" dxfId="1" priority="1"/>
  </conditionalFormatting>
  <dataValidations count="1">
    <dataValidation type="list" allowBlank="1" showInputMessage="1" showErrorMessage="1" sqref="J75 J71:J72" xr:uid="{328921AC-5D18-4F43-813A-E604F91B382C}">
      <formula1>"Connected product, Edge control, Analytics,"</formula1>
    </dataValidation>
  </dataValidation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7536-2F2F-4588-873F-8953C4073B30}">
  <dimension ref="A1:AI128"/>
  <sheetViews>
    <sheetView zoomScale="81" zoomScaleNormal="100" workbookViewId="0">
      <pane xSplit="4" topLeftCell="E1" activePane="topRight" state="frozen"/>
      <selection pane="topRight" activeCell="D94" sqref="D94"/>
    </sheetView>
  </sheetViews>
  <sheetFormatPr baseColWidth="10" defaultColWidth="8.5703125" defaultRowHeight="15"/>
  <cols>
    <col min="1" max="1" width="13.42578125" style="88" customWidth="1"/>
    <col min="2" max="3" width="14" style="88" customWidth="1"/>
    <col min="4" max="4" width="39.5703125" style="89" bestFit="1" customWidth="1"/>
    <col min="5" max="5" width="35.42578125" style="106" bestFit="1" customWidth="1"/>
    <col min="6" max="6" width="32.42578125" style="106" customWidth="1"/>
    <col min="7" max="7" width="18.85546875" style="106" bestFit="1" customWidth="1"/>
    <col min="8" max="8" width="9.42578125" style="88" bestFit="1" customWidth="1"/>
    <col min="9" max="9" width="27.42578125" style="89" bestFit="1" customWidth="1"/>
    <col min="10" max="10" width="17.140625" style="89" bestFit="1" customWidth="1"/>
    <col min="11" max="11" width="29" style="106" bestFit="1" customWidth="1"/>
    <col min="12" max="12" width="43.85546875" style="89" customWidth="1"/>
    <col min="13" max="13" width="9.42578125" style="106" bestFit="1" customWidth="1"/>
    <col min="14" max="14" width="5.85546875" style="106" bestFit="1" customWidth="1"/>
    <col min="15" max="15" width="6.42578125" style="106" bestFit="1" customWidth="1"/>
    <col min="16" max="16" width="13.5703125" style="88" bestFit="1" customWidth="1"/>
    <col min="17" max="17" width="6.5703125" style="88" bestFit="1" customWidth="1"/>
    <col min="18" max="18" width="10.5703125" style="88" bestFit="1" customWidth="1"/>
    <col min="19" max="19" width="12.42578125" style="88" bestFit="1" customWidth="1"/>
    <col min="20" max="20" width="15.5703125" style="88" bestFit="1" customWidth="1"/>
    <col min="21" max="21" width="9.85546875" style="88" bestFit="1" customWidth="1"/>
    <col min="22" max="22" width="10.5703125" style="88" bestFit="1" customWidth="1"/>
    <col min="23" max="23" width="14.42578125" style="88" bestFit="1" customWidth="1"/>
    <col min="24" max="24" width="11" style="88" bestFit="1" customWidth="1"/>
    <col min="25" max="25" width="10.140625" style="88" bestFit="1" customWidth="1"/>
    <col min="26" max="26" width="9.42578125" style="88" bestFit="1" customWidth="1"/>
    <col min="27" max="27" width="10.42578125" style="88" bestFit="1" customWidth="1"/>
    <col min="28" max="29" width="9.42578125" style="88" bestFit="1" customWidth="1"/>
    <col min="30" max="30" width="16" style="88" bestFit="1" customWidth="1"/>
    <col min="31" max="31" width="16.42578125" style="88" bestFit="1" customWidth="1"/>
    <col min="32" max="32" width="10.42578125" style="88" bestFit="1" customWidth="1"/>
    <col min="33" max="33" width="11.42578125" style="93" bestFit="1" customWidth="1"/>
    <col min="34" max="34" width="10.42578125" style="9" bestFit="1" customWidth="1"/>
    <col min="35" max="16384" width="8.5703125" style="9"/>
  </cols>
  <sheetData>
    <row r="1" spans="1:34">
      <c r="A1" s="88">
        <f>COUNTIF(Table5486[Seen on BS],"Yes")</f>
        <v>4</v>
      </c>
      <c r="B1" s="88">
        <f>COUNTIF(Table5486[Fingerprints available],"Yes")</f>
        <v>12</v>
      </c>
      <c r="D1" s="88">
        <f>COUNTA(Table5486[Product range])</f>
        <v>84</v>
      </c>
    </row>
    <row r="2" spans="1:34" ht="30">
      <c r="A2" s="103" t="s">
        <v>33</v>
      </c>
      <c r="B2" s="123" t="s">
        <v>64</v>
      </c>
      <c r="C2" s="123" t="s">
        <v>1318</v>
      </c>
      <c r="D2" s="123" t="s">
        <v>304</v>
      </c>
      <c r="E2" s="123" t="s">
        <v>66</v>
      </c>
      <c r="F2" s="123" t="s">
        <v>29</v>
      </c>
      <c r="G2" s="123" t="s">
        <v>28</v>
      </c>
      <c r="H2" s="123" t="s">
        <v>67</v>
      </c>
      <c r="I2" s="123" t="s">
        <v>664</v>
      </c>
      <c r="J2" s="123" t="s">
        <v>69</v>
      </c>
      <c r="K2" s="123" t="s">
        <v>70</v>
      </c>
      <c r="L2" s="123" t="s">
        <v>71</v>
      </c>
      <c r="M2" s="124" t="s">
        <v>72</v>
      </c>
      <c r="N2" s="124" t="s">
        <v>73</v>
      </c>
      <c r="O2" s="124" t="s">
        <v>74</v>
      </c>
      <c r="P2" s="124" t="s">
        <v>75</v>
      </c>
      <c r="Q2" s="124" t="s">
        <v>76</v>
      </c>
      <c r="R2" s="123" t="s">
        <v>77</v>
      </c>
      <c r="S2" s="123" t="s">
        <v>78</v>
      </c>
      <c r="T2" s="123" t="s">
        <v>79</v>
      </c>
      <c r="U2" s="123" t="s">
        <v>80</v>
      </c>
      <c r="V2" s="123" t="s">
        <v>81</v>
      </c>
      <c r="W2" s="123" t="s">
        <v>82</v>
      </c>
      <c r="X2" s="123" t="s">
        <v>83</v>
      </c>
      <c r="Y2" s="123" t="s">
        <v>84</v>
      </c>
      <c r="Z2" s="123" t="s">
        <v>85</v>
      </c>
      <c r="AA2" s="123" t="s">
        <v>86</v>
      </c>
      <c r="AB2" s="123" t="s">
        <v>87</v>
      </c>
      <c r="AC2" s="123" t="s">
        <v>88</v>
      </c>
      <c r="AD2" s="123" t="s">
        <v>89</v>
      </c>
      <c r="AE2" s="123" t="s">
        <v>90</v>
      </c>
      <c r="AF2" s="123" t="s">
        <v>91</v>
      </c>
      <c r="AG2" s="123" t="s">
        <v>92</v>
      </c>
      <c r="AH2" s="125" t="s">
        <v>93</v>
      </c>
    </row>
    <row r="3" spans="1:34">
      <c r="A3" s="14"/>
      <c r="B3" s="14" t="s">
        <v>97</v>
      </c>
      <c r="C3" s="14" t="s">
        <v>705</v>
      </c>
      <c r="D3" s="12" t="s">
        <v>682</v>
      </c>
      <c r="E3" s="12" t="s">
        <v>668</v>
      </c>
      <c r="F3" s="12" t="s">
        <v>673</v>
      </c>
      <c r="G3" s="55" t="s">
        <v>14</v>
      </c>
      <c r="H3" s="14" t="s">
        <v>101</v>
      </c>
      <c r="I3" s="12" t="s">
        <v>103</v>
      </c>
      <c r="J3" s="12" t="s">
        <v>107</v>
      </c>
      <c r="K3" s="12"/>
      <c r="L3" s="12" t="s">
        <v>676</v>
      </c>
      <c r="M3" s="55"/>
      <c r="N3" s="55"/>
      <c r="O3" s="55"/>
      <c r="P3" s="55"/>
      <c r="Q3" s="55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61"/>
    </row>
    <row r="4" spans="1:34" ht="30">
      <c r="A4" s="14"/>
      <c r="B4" s="14" t="s">
        <v>96</v>
      </c>
      <c r="C4" s="14" t="s">
        <v>705</v>
      </c>
      <c r="D4" s="12" t="s">
        <v>683</v>
      </c>
      <c r="E4" s="12" t="s">
        <v>684</v>
      </c>
      <c r="F4" s="12" t="s">
        <v>673</v>
      </c>
      <c r="G4" s="55" t="s">
        <v>14</v>
      </c>
      <c r="H4" s="14" t="s">
        <v>101</v>
      </c>
      <c r="I4" s="12" t="s">
        <v>103</v>
      </c>
      <c r="J4" s="12" t="s">
        <v>107</v>
      </c>
      <c r="K4" s="12"/>
      <c r="L4" s="65" t="s">
        <v>676</v>
      </c>
      <c r="M4" s="5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61"/>
    </row>
    <row r="5" spans="1:34">
      <c r="A5" s="34"/>
      <c r="B5" s="34" t="s">
        <v>97</v>
      </c>
      <c r="C5" s="34" t="s">
        <v>685</v>
      </c>
      <c r="D5" s="13" t="s">
        <v>686</v>
      </c>
      <c r="E5" s="13" t="s">
        <v>687</v>
      </c>
      <c r="F5" s="12" t="s">
        <v>673</v>
      </c>
      <c r="G5" s="55" t="s">
        <v>14</v>
      </c>
      <c r="H5" s="14" t="s">
        <v>101</v>
      </c>
      <c r="I5" s="12" t="s">
        <v>103</v>
      </c>
      <c r="J5" s="12" t="s">
        <v>107</v>
      </c>
      <c r="K5" s="12"/>
      <c r="L5" s="65" t="s">
        <v>676</v>
      </c>
      <c r="M5" s="55"/>
      <c r="N5" s="55"/>
      <c r="O5" s="55"/>
      <c r="P5" s="55"/>
      <c r="Q5" s="55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61"/>
    </row>
    <row r="6" spans="1:34" ht="30">
      <c r="A6" s="14"/>
      <c r="B6" s="14" t="s">
        <v>96</v>
      </c>
      <c r="C6" s="14" t="s">
        <v>685</v>
      </c>
      <c r="D6" s="12" t="s">
        <v>688</v>
      </c>
      <c r="E6" s="12" t="s">
        <v>684</v>
      </c>
      <c r="F6" s="12" t="s">
        <v>14</v>
      </c>
      <c r="G6" s="55" t="s">
        <v>11</v>
      </c>
      <c r="H6" s="14" t="s">
        <v>101</v>
      </c>
      <c r="I6" s="12" t="s">
        <v>112</v>
      </c>
      <c r="J6" s="12" t="s">
        <v>107</v>
      </c>
      <c r="K6" s="12"/>
      <c r="L6" s="65" t="s">
        <v>689</v>
      </c>
      <c r="M6" s="55"/>
      <c r="N6" s="1"/>
      <c r="O6" s="1"/>
      <c r="P6" s="1"/>
      <c r="Q6" s="1"/>
      <c r="R6" s="1"/>
      <c r="S6" s="1" t="s">
        <v>105</v>
      </c>
      <c r="T6" s="1" t="s">
        <v>105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61"/>
    </row>
    <row r="7" spans="1:34">
      <c r="A7" s="34"/>
      <c r="B7" s="34" t="s">
        <v>97</v>
      </c>
      <c r="C7" s="34" t="s">
        <v>685</v>
      </c>
      <c r="D7" s="13" t="s">
        <v>690</v>
      </c>
      <c r="E7" s="13" t="s">
        <v>687</v>
      </c>
      <c r="F7" s="12" t="s">
        <v>673</v>
      </c>
      <c r="G7" s="55" t="s">
        <v>14</v>
      </c>
      <c r="H7" s="14" t="s">
        <v>101</v>
      </c>
      <c r="I7" s="12" t="s">
        <v>112</v>
      </c>
      <c r="J7" s="12" t="s">
        <v>107</v>
      </c>
      <c r="K7" s="55" t="s">
        <v>691</v>
      </c>
      <c r="L7" s="65" t="s">
        <v>676</v>
      </c>
      <c r="M7" s="55"/>
      <c r="N7" s="55"/>
      <c r="O7" s="55"/>
      <c r="P7" s="55"/>
      <c r="Q7" s="55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61"/>
    </row>
    <row r="8" spans="1:34" ht="30">
      <c r="A8" s="34"/>
      <c r="B8" s="34" t="s">
        <v>97</v>
      </c>
      <c r="C8" s="34" t="s">
        <v>685</v>
      </c>
      <c r="D8" s="13" t="s">
        <v>692</v>
      </c>
      <c r="E8" s="13" t="s">
        <v>687</v>
      </c>
      <c r="F8" s="12" t="s">
        <v>14</v>
      </c>
      <c r="G8" s="55" t="s">
        <v>11</v>
      </c>
      <c r="H8" s="14" t="s">
        <v>101</v>
      </c>
      <c r="I8" s="12" t="s">
        <v>112</v>
      </c>
      <c r="J8" s="12" t="s">
        <v>107</v>
      </c>
      <c r="K8" s="12"/>
      <c r="L8" s="12" t="s">
        <v>693</v>
      </c>
      <c r="M8" s="55"/>
      <c r="N8" s="55"/>
      <c r="O8" s="55"/>
      <c r="P8" s="55" t="s">
        <v>105</v>
      </c>
      <c r="Q8" s="55"/>
      <c r="R8" s="14"/>
      <c r="S8" s="14"/>
      <c r="T8" s="14"/>
      <c r="U8" s="14"/>
      <c r="V8" s="14" t="s">
        <v>105</v>
      </c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61"/>
    </row>
    <row r="9" spans="1:34" ht="30">
      <c r="A9" s="34"/>
      <c r="B9" s="14" t="s">
        <v>97</v>
      </c>
      <c r="C9" s="14" t="s">
        <v>685</v>
      </c>
      <c r="D9" s="12" t="s">
        <v>694</v>
      </c>
      <c r="E9" s="12" t="s">
        <v>668</v>
      </c>
      <c r="F9" s="12" t="s">
        <v>14</v>
      </c>
      <c r="G9" s="55" t="s">
        <v>11</v>
      </c>
      <c r="H9" s="1" t="s">
        <v>101</v>
      </c>
      <c r="I9" s="12" t="s">
        <v>112</v>
      </c>
      <c r="J9" s="12" t="s">
        <v>107</v>
      </c>
      <c r="K9" s="55" t="s">
        <v>695</v>
      </c>
      <c r="L9" s="65" t="s">
        <v>676</v>
      </c>
      <c r="M9" s="55"/>
      <c r="N9" s="55"/>
      <c r="O9" s="55"/>
      <c r="P9" s="55"/>
      <c r="Q9" s="55"/>
      <c r="R9" s="14"/>
      <c r="S9" s="14"/>
      <c r="T9" s="14"/>
      <c r="U9" s="14"/>
      <c r="V9" s="14"/>
      <c r="W9" s="14"/>
      <c r="X9" s="14"/>
      <c r="Y9" s="14"/>
      <c r="Z9" s="14" t="s">
        <v>105</v>
      </c>
      <c r="AA9" s="14"/>
      <c r="AB9" s="14"/>
      <c r="AC9" s="14"/>
      <c r="AD9" s="14"/>
      <c r="AE9" s="14"/>
      <c r="AF9" s="14"/>
      <c r="AG9" s="14"/>
      <c r="AH9" s="61"/>
    </row>
    <row r="10" spans="1:34" ht="30">
      <c r="A10" s="34"/>
      <c r="B10" s="14" t="s">
        <v>97</v>
      </c>
      <c r="C10" s="14" t="s">
        <v>685</v>
      </c>
      <c r="D10" s="12" t="s">
        <v>696</v>
      </c>
      <c r="E10" s="12" t="s">
        <v>668</v>
      </c>
      <c r="F10" s="12" t="s">
        <v>14</v>
      </c>
      <c r="G10" s="55" t="s">
        <v>11</v>
      </c>
      <c r="H10" s="1" t="s">
        <v>101</v>
      </c>
      <c r="I10" s="12" t="s">
        <v>112</v>
      </c>
      <c r="J10" s="12" t="s">
        <v>107</v>
      </c>
      <c r="K10" s="55" t="s">
        <v>695</v>
      </c>
      <c r="L10" s="65" t="s">
        <v>676</v>
      </c>
      <c r="M10" s="5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4" t="s">
        <v>105</v>
      </c>
      <c r="AA10" s="1"/>
      <c r="AB10" s="1"/>
      <c r="AC10" s="1"/>
      <c r="AD10" s="1"/>
      <c r="AE10" s="1"/>
      <c r="AF10" s="1"/>
      <c r="AG10" s="1"/>
      <c r="AH10" s="61"/>
    </row>
    <row r="11" spans="1:34" ht="30">
      <c r="A11" s="14"/>
      <c r="B11" s="14" t="s">
        <v>97</v>
      </c>
      <c r="C11" s="14" t="s">
        <v>685</v>
      </c>
      <c r="D11" s="12" t="s">
        <v>697</v>
      </c>
      <c r="E11" s="12" t="s">
        <v>668</v>
      </c>
      <c r="F11" s="12" t="s">
        <v>14</v>
      </c>
      <c r="G11" s="55" t="s">
        <v>11</v>
      </c>
      <c r="H11" s="1" t="s">
        <v>101</v>
      </c>
      <c r="I11" s="12" t="s">
        <v>112</v>
      </c>
      <c r="J11" s="12" t="s">
        <v>107</v>
      </c>
      <c r="K11" s="55" t="s">
        <v>695</v>
      </c>
      <c r="L11" s="65" t="s">
        <v>676</v>
      </c>
      <c r="M11" s="5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4" t="s">
        <v>105</v>
      </c>
      <c r="AA11" s="1"/>
      <c r="AB11" s="1"/>
      <c r="AC11" s="1"/>
      <c r="AD11" s="1"/>
      <c r="AE11" s="1"/>
      <c r="AF11" s="1"/>
      <c r="AG11" s="1"/>
      <c r="AH11" s="61"/>
    </row>
    <row r="12" spans="1:34" ht="30">
      <c r="A12" s="34"/>
      <c r="B12" s="34" t="s">
        <v>96</v>
      </c>
      <c r="C12" s="34" t="s">
        <v>685</v>
      </c>
      <c r="D12" s="13" t="s">
        <v>698</v>
      </c>
      <c r="E12" s="13" t="s">
        <v>687</v>
      </c>
      <c r="F12" s="12" t="s">
        <v>14</v>
      </c>
      <c r="G12" s="55" t="s">
        <v>11</v>
      </c>
      <c r="H12" s="14" t="s">
        <v>101</v>
      </c>
      <c r="I12" s="12" t="s">
        <v>112</v>
      </c>
      <c r="J12" s="12" t="s">
        <v>107</v>
      </c>
      <c r="K12" s="12"/>
      <c r="L12" s="12" t="s">
        <v>693</v>
      </c>
      <c r="M12" s="55"/>
      <c r="N12" s="55"/>
      <c r="O12" s="55"/>
      <c r="P12" s="55" t="s">
        <v>105</v>
      </c>
      <c r="Q12" s="55"/>
      <c r="R12" s="14"/>
      <c r="S12" s="14"/>
      <c r="T12" s="14"/>
      <c r="U12" s="14"/>
      <c r="V12" s="14" t="s">
        <v>105</v>
      </c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61"/>
    </row>
    <row r="13" spans="1:34">
      <c r="A13" s="14"/>
      <c r="B13" s="14" t="s">
        <v>97</v>
      </c>
      <c r="C13" s="14" t="s">
        <v>685</v>
      </c>
      <c r="D13" s="12" t="s">
        <v>699</v>
      </c>
      <c r="E13" s="12" t="s">
        <v>672</v>
      </c>
      <c r="F13" s="12" t="s">
        <v>673</v>
      </c>
      <c r="G13" s="55" t="s">
        <v>14</v>
      </c>
      <c r="H13" s="14" t="s">
        <v>101</v>
      </c>
      <c r="I13" s="12" t="s">
        <v>103</v>
      </c>
      <c r="J13" s="12" t="s">
        <v>107</v>
      </c>
      <c r="K13" s="12"/>
      <c r="L13" s="65" t="s">
        <v>676</v>
      </c>
      <c r="M13" s="5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61"/>
    </row>
    <row r="14" spans="1:34" ht="30">
      <c r="A14" s="14"/>
      <c r="B14" s="14" t="s">
        <v>96</v>
      </c>
      <c r="C14" s="14" t="s">
        <v>685</v>
      </c>
      <c r="D14" s="12" t="s">
        <v>700</v>
      </c>
      <c r="E14" s="12" t="s">
        <v>672</v>
      </c>
      <c r="F14" s="12" t="s">
        <v>14</v>
      </c>
      <c r="G14" s="55" t="s">
        <v>11</v>
      </c>
      <c r="H14" s="14" t="s">
        <v>101</v>
      </c>
      <c r="I14" s="12" t="s">
        <v>112</v>
      </c>
      <c r="J14" s="12" t="s">
        <v>107</v>
      </c>
      <c r="K14" s="12"/>
      <c r="L14" s="12" t="s">
        <v>701</v>
      </c>
      <c r="M14" s="12"/>
      <c r="N14" s="1"/>
      <c r="O14" s="1"/>
      <c r="P14" s="1"/>
      <c r="Q14" s="1"/>
      <c r="R14" s="1"/>
      <c r="S14" s="1" t="s">
        <v>105</v>
      </c>
      <c r="T14" s="1" t="s">
        <v>122</v>
      </c>
      <c r="U14" s="1"/>
      <c r="V14" s="1" t="s">
        <v>105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61"/>
    </row>
    <row r="15" spans="1:34" ht="30">
      <c r="A15" s="14"/>
      <c r="B15" s="14" t="s">
        <v>96</v>
      </c>
      <c r="C15" s="14" t="s">
        <v>702</v>
      </c>
      <c r="D15" s="12" t="s">
        <v>703</v>
      </c>
      <c r="E15" s="12" t="s">
        <v>672</v>
      </c>
      <c r="F15" s="12" t="s">
        <v>14</v>
      </c>
      <c r="G15" s="55" t="s">
        <v>11</v>
      </c>
      <c r="H15" s="14" t="s">
        <v>101</v>
      </c>
      <c r="I15" s="12" t="s">
        <v>112</v>
      </c>
      <c r="J15" s="12" t="s">
        <v>107</v>
      </c>
      <c r="K15" s="12"/>
      <c r="L15" s="65" t="s">
        <v>704</v>
      </c>
      <c r="M15" s="55" t="s">
        <v>105</v>
      </c>
      <c r="N15" s="1"/>
      <c r="O15" s="1"/>
      <c r="P15" s="1"/>
      <c r="Q15" s="1"/>
      <c r="R15" s="1"/>
      <c r="S15" s="1" t="s">
        <v>105</v>
      </c>
      <c r="T15" s="1" t="s">
        <v>705</v>
      </c>
      <c r="U15" s="1"/>
      <c r="V15" s="1" t="s">
        <v>105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61"/>
    </row>
    <row r="16" spans="1:34" ht="30">
      <c r="A16" s="14"/>
      <c r="B16" s="14" t="s">
        <v>97</v>
      </c>
      <c r="C16" s="14" t="s">
        <v>702</v>
      </c>
      <c r="D16" s="12" t="s">
        <v>706</v>
      </c>
      <c r="E16" s="13" t="s">
        <v>672</v>
      </c>
      <c r="F16" s="12" t="s">
        <v>14</v>
      </c>
      <c r="G16" s="55" t="s">
        <v>11</v>
      </c>
      <c r="H16" s="1" t="s">
        <v>101</v>
      </c>
      <c r="I16" s="12" t="s">
        <v>112</v>
      </c>
      <c r="J16" s="12" t="s">
        <v>107</v>
      </c>
      <c r="K16" s="12"/>
      <c r="L16" s="12" t="s">
        <v>707</v>
      </c>
      <c r="M16" s="55"/>
      <c r="N16" s="1"/>
      <c r="O16" s="1"/>
      <c r="P16" s="1"/>
      <c r="Q16" s="1"/>
      <c r="R16" s="1"/>
      <c r="S16" s="1" t="s">
        <v>122</v>
      </c>
      <c r="T16" s="1"/>
      <c r="U16" s="1"/>
      <c r="V16" s="1" t="s">
        <v>105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61"/>
    </row>
    <row r="17" spans="1:34" ht="30">
      <c r="A17" s="14"/>
      <c r="B17" s="14" t="s">
        <v>97</v>
      </c>
      <c r="C17" s="14" t="s">
        <v>702</v>
      </c>
      <c r="D17" s="12" t="s">
        <v>708</v>
      </c>
      <c r="E17" s="12" t="s">
        <v>672</v>
      </c>
      <c r="F17" s="12" t="s">
        <v>14</v>
      </c>
      <c r="G17" s="55" t="s">
        <v>11</v>
      </c>
      <c r="H17" s="14" t="s">
        <v>101</v>
      </c>
      <c r="I17" s="12" t="s">
        <v>112</v>
      </c>
      <c r="J17" s="12" t="s">
        <v>107</v>
      </c>
      <c r="K17" s="12"/>
      <c r="L17" s="65" t="s">
        <v>709</v>
      </c>
      <c r="M17" s="55" t="s">
        <v>105</v>
      </c>
      <c r="N17" s="1"/>
      <c r="O17" s="1"/>
      <c r="P17" s="1"/>
      <c r="Q17" s="1"/>
      <c r="R17" s="1"/>
      <c r="S17" s="1" t="s">
        <v>105</v>
      </c>
      <c r="T17" s="1" t="s">
        <v>105</v>
      </c>
      <c r="U17" s="1"/>
      <c r="V17" s="1" t="s">
        <v>105</v>
      </c>
      <c r="W17" s="1"/>
      <c r="X17" s="1"/>
      <c r="Y17" s="1"/>
      <c r="Z17" s="1" t="s">
        <v>105</v>
      </c>
      <c r="AA17" s="1"/>
      <c r="AB17" s="1"/>
      <c r="AC17" s="1"/>
      <c r="AD17" s="1"/>
      <c r="AE17" s="1"/>
      <c r="AF17" s="1"/>
      <c r="AG17" s="1"/>
      <c r="AH17" s="61"/>
    </row>
    <row r="18" spans="1:34" ht="30">
      <c r="A18" s="14"/>
      <c r="B18" s="14" t="s">
        <v>97</v>
      </c>
      <c r="C18" s="14" t="s">
        <v>702</v>
      </c>
      <c r="D18" s="12" t="s">
        <v>710</v>
      </c>
      <c r="E18" s="13" t="s">
        <v>672</v>
      </c>
      <c r="F18" s="12" t="s">
        <v>14</v>
      </c>
      <c r="G18" s="55" t="s">
        <v>11</v>
      </c>
      <c r="H18" s="1" t="s">
        <v>101</v>
      </c>
      <c r="I18" s="12" t="s">
        <v>112</v>
      </c>
      <c r="J18" s="12" t="s">
        <v>107</v>
      </c>
      <c r="K18" s="12"/>
      <c r="L18" s="12" t="s">
        <v>707</v>
      </c>
      <c r="M18" s="55"/>
      <c r="N18" s="55"/>
      <c r="O18" s="55"/>
      <c r="P18" s="55"/>
      <c r="Q18" s="55"/>
      <c r="R18" s="14"/>
      <c r="S18" s="1" t="s">
        <v>122</v>
      </c>
      <c r="T18" s="14"/>
      <c r="U18" s="14"/>
      <c r="V18" s="14" t="s">
        <v>105</v>
      </c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61"/>
    </row>
    <row r="19" spans="1:34" ht="30">
      <c r="A19" s="14"/>
      <c r="B19" s="14" t="s">
        <v>97</v>
      </c>
      <c r="C19" s="14" t="s">
        <v>702</v>
      </c>
      <c r="D19" s="12" t="s">
        <v>711</v>
      </c>
      <c r="E19" s="12" t="s">
        <v>672</v>
      </c>
      <c r="F19" s="12" t="s">
        <v>14</v>
      </c>
      <c r="G19" s="55" t="s">
        <v>11</v>
      </c>
      <c r="H19" s="14" t="s">
        <v>101</v>
      </c>
      <c r="I19" s="12" t="s">
        <v>112</v>
      </c>
      <c r="J19" s="12" t="s">
        <v>107</v>
      </c>
      <c r="K19" s="12"/>
      <c r="L19" s="65" t="s">
        <v>712</v>
      </c>
      <c r="M19" s="55" t="s">
        <v>105</v>
      </c>
      <c r="N19" s="1" t="s">
        <v>105</v>
      </c>
      <c r="O19" s="1"/>
      <c r="P19" s="1"/>
      <c r="Q19" s="1"/>
      <c r="R19" s="1"/>
      <c r="S19" s="1" t="s">
        <v>105</v>
      </c>
      <c r="T19" s="1" t="s">
        <v>105</v>
      </c>
      <c r="U19" s="1"/>
      <c r="V19" s="1" t="s">
        <v>105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61"/>
    </row>
    <row r="20" spans="1:34" ht="30">
      <c r="A20" s="14"/>
      <c r="B20" s="14" t="s">
        <v>97</v>
      </c>
      <c r="C20" s="14" t="s">
        <v>702</v>
      </c>
      <c r="D20" s="12" t="s">
        <v>713</v>
      </c>
      <c r="E20" s="12" t="s">
        <v>672</v>
      </c>
      <c r="F20" s="12" t="s">
        <v>14</v>
      </c>
      <c r="G20" s="55" t="s">
        <v>11</v>
      </c>
      <c r="H20" s="14" t="s">
        <v>101</v>
      </c>
      <c r="I20" s="12" t="s">
        <v>112</v>
      </c>
      <c r="J20" s="12" t="s">
        <v>107</v>
      </c>
      <c r="K20" s="12"/>
      <c r="L20" s="65" t="s">
        <v>704</v>
      </c>
      <c r="M20" s="55" t="s">
        <v>105</v>
      </c>
      <c r="N20" s="1"/>
      <c r="O20" s="1"/>
      <c r="P20" s="1"/>
      <c r="Q20" s="1"/>
      <c r="R20" s="1"/>
      <c r="S20" s="1" t="s">
        <v>105</v>
      </c>
      <c r="T20" s="1" t="s">
        <v>705</v>
      </c>
      <c r="U20" s="1"/>
      <c r="V20" s="1" t="s">
        <v>105</v>
      </c>
      <c r="W20" s="1"/>
      <c r="X20" s="1"/>
      <c r="Y20" s="1"/>
      <c r="Z20" s="1" t="s">
        <v>105</v>
      </c>
      <c r="AA20" s="1"/>
      <c r="AB20" s="1"/>
      <c r="AC20" s="1"/>
      <c r="AD20" s="1"/>
      <c r="AE20" s="1"/>
      <c r="AF20" s="1"/>
      <c r="AG20" s="1"/>
      <c r="AH20" s="61"/>
    </row>
    <row r="21" spans="1:34" ht="30">
      <c r="A21" s="14"/>
      <c r="B21" s="14" t="s">
        <v>97</v>
      </c>
      <c r="C21" s="14" t="s">
        <v>702</v>
      </c>
      <c r="D21" s="12" t="s">
        <v>714</v>
      </c>
      <c r="E21" s="12" t="s">
        <v>672</v>
      </c>
      <c r="F21" s="12" t="s">
        <v>14</v>
      </c>
      <c r="G21" s="55" t="s">
        <v>11</v>
      </c>
      <c r="H21" s="14" t="s">
        <v>101</v>
      </c>
      <c r="I21" s="12" t="s">
        <v>112</v>
      </c>
      <c r="J21" s="12" t="s">
        <v>107</v>
      </c>
      <c r="K21" s="12"/>
      <c r="L21" s="65" t="s">
        <v>103</v>
      </c>
      <c r="M21" s="55"/>
      <c r="N21" s="1"/>
      <c r="O21" s="1"/>
      <c r="P21" s="1"/>
      <c r="Q21" s="1"/>
      <c r="R21" s="1"/>
      <c r="S21" s="14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61"/>
    </row>
    <row r="22" spans="1:34" ht="30">
      <c r="A22" s="14"/>
      <c r="B22" s="14" t="s">
        <v>97</v>
      </c>
      <c r="C22" s="14" t="s">
        <v>685</v>
      </c>
      <c r="D22" s="12" t="s">
        <v>715</v>
      </c>
      <c r="E22" s="13" t="s">
        <v>672</v>
      </c>
      <c r="F22" s="12" t="s">
        <v>14</v>
      </c>
      <c r="G22" s="55" t="s">
        <v>11</v>
      </c>
      <c r="H22" s="1" t="s">
        <v>101</v>
      </c>
      <c r="I22" s="12" t="s">
        <v>112</v>
      </c>
      <c r="J22" s="12" t="s">
        <v>107</v>
      </c>
      <c r="K22" s="12"/>
      <c r="L22" s="12" t="s">
        <v>716</v>
      </c>
      <c r="M22" s="55"/>
      <c r="N22" s="55"/>
      <c r="O22" s="55"/>
      <c r="P22" s="55"/>
      <c r="Q22" s="55"/>
      <c r="R22" s="14"/>
      <c r="S22" s="14" t="s">
        <v>122</v>
      </c>
      <c r="T22" s="14" t="s">
        <v>122</v>
      </c>
      <c r="U22" s="14"/>
      <c r="V22" s="14" t="s">
        <v>105</v>
      </c>
      <c r="W22" s="14"/>
      <c r="X22" s="14"/>
      <c r="Y22" s="14"/>
      <c r="Z22" s="14" t="s">
        <v>105</v>
      </c>
      <c r="AA22" s="14"/>
      <c r="AB22" s="14"/>
      <c r="AC22" s="14"/>
      <c r="AD22" s="14"/>
      <c r="AE22" s="14"/>
      <c r="AF22" s="14"/>
      <c r="AG22" s="14"/>
      <c r="AH22" s="61"/>
    </row>
    <row r="23" spans="1:34">
      <c r="A23" s="14"/>
      <c r="B23" s="14" t="s">
        <v>97</v>
      </c>
      <c r="C23" s="14" t="s">
        <v>685</v>
      </c>
      <c r="D23" s="12" t="s">
        <v>717</v>
      </c>
      <c r="E23" s="12" t="s">
        <v>672</v>
      </c>
      <c r="F23" s="12" t="s">
        <v>673</v>
      </c>
      <c r="G23" s="55" t="s">
        <v>14</v>
      </c>
      <c r="H23" s="14" t="s">
        <v>101</v>
      </c>
      <c r="I23" s="12" t="s">
        <v>103</v>
      </c>
      <c r="J23" s="12" t="s">
        <v>107</v>
      </c>
      <c r="K23" s="12"/>
      <c r="L23" s="65" t="s">
        <v>676</v>
      </c>
      <c r="M23" s="1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61"/>
    </row>
    <row r="24" spans="1:34" ht="30">
      <c r="A24" s="14"/>
      <c r="B24" s="14" t="s">
        <v>97</v>
      </c>
      <c r="C24" s="14" t="s">
        <v>685</v>
      </c>
      <c r="D24" s="12" t="s">
        <v>718</v>
      </c>
      <c r="E24" s="12" t="s">
        <v>672</v>
      </c>
      <c r="F24" s="12" t="s">
        <v>14</v>
      </c>
      <c r="G24" s="55" t="s">
        <v>11</v>
      </c>
      <c r="H24" s="14" t="s">
        <v>101</v>
      </c>
      <c r="I24" s="12" t="s">
        <v>112</v>
      </c>
      <c r="J24" s="12" t="s">
        <v>107</v>
      </c>
      <c r="K24" s="12"/>
      <c r="L24" s="65" t="s">
        <v>719</v>
      </c>
      <c r="M24" s="55"/>
      <c r="N24" s="1"/>
      <c r="O24" s="1"/>
      <c r="P24" s="1"/>
      <c r="Q24" s="1"/>
      <c r="R24" s="1"/>
      <c r="S24" s="1" t="s">
        <v>105</v>
      </c>
      <c r="T24" s="1" t="s">
        <v>105</v>
      </c>
      <c r="U24" s="1"/>
      <c r="V24" s="1" t="s">
        <v>105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61"/>
    </row>
    <row r="25" spans="1:34" ht="30">
      <c r="A25" s="14"/>
      <c r="B25" s="14" t="s">
        <v>97</v>
      </c>
      <c r="C25" s="14" t="s">
        <v>685</v>
      </c>
      <c r="D25" s="12" t="s">
        <v>720</v>
      </c>
      <c r="E25" s="12" t="s">
        <v>672</v>
      </c>
      <c r="F25" s="12" t="s">
        <v>14</v>
      </c>
      <c r="G25" s="55" t="s">
        <v>11</v>
      </c>
      <c r="H25" s="14" t="s">
        <v>101</v>
      </c>
      <c r="I25" s="12" t="s">
        <v>112</v>
      </c>
      <c r="J25" s="12" t="s">
        <v>107</v>
      </c>
      <c r="K25" s="12"/>
      <c r="L25" s="65" t="s">
        <v>721</v>
      </c>
      <c r="M25" s="55"/>
      <c r="N25" s="1"/>
      <c r="O25" s="1"/>
      <c r="P25" s="1"/>
      <c r="Q25" s="1"/>
      <c r="R25" s="1"/>
      <c r="S25" s="1"/>
      <c r="T25" s="1"/>
      <c r="U25" s="1"/>
      <c r="V25" s="1" t="s">
        <v>105</v>
      </c>
      <c r="W25" s="1"/>
      <c r="X25" s="1"/>
      <c r="Y25" s="1"/>
      <c r="Z25" s="1" t="s">
        <v>105</v>
      </c>
      <c r="AA25" s="1"/>
      <c r="AB25" s="1"/>
      <c r="AC25" s="1"/>
      <c r="AD25" s="1"/>
      <c r="AE25" s="1"/>
      <c r="AF25" s="1"/>
      <c r="AG25" s="1"/>
      <c r="AH25" s="61"/>
    </row>
    <row r="26" spans="1:34" ht="30">
      <c r="A26" s="14"/>
      <c r="B26" s="14" t="s">
        <v>97</v>
      </c>
      <c r="C26" s="14" t="s">
        <v>685</v>
      </c>
      <c r="D26" s="12" t="s">
        <v>722</v>
      </c>
      <c r="E26" s="12" t="s">
        <v>672</v>
      </c>
      <c r="F26" s="12" t="s">
        <v>14</v>
      </c>
      <c r="G26" s="55" t="s">
        <v>11</v>
      </c>
      <c r="H26" s="14" t="s">
        <v>101</v>
      </c>
      <c r="I26" s="12" t="s">
        <v>112</v>
      </c>
      <c r="J26" s="12" t="s">
        <v>107</v>
      </c>
      <c r="K26" s="12"/>
      <c r="L26" s="65" t="s">
        <v>723</v>
      </c>
      <c r="M26" s="55"/>
      <c r="N26" s="1"/>
      <c r="O26" s="1"/>
      <c r="P26" s="1"/>
      <c r="Q26" s="1"/>
      <c r="R26" s="1"/>
      <c r="S26" s="1" t="s">
        <v>122</v>
      </c>
      <c r="T26" s="1" t="s">
        <v>122</v>
      </c>
      <c r="U26" s="1"/>
      <c r="V26" s="1" t="s">
        <v>105</v>
      </c>
      <c r="W26" s="1"/>
      <c r="X26" s="1"/>
      <c r="Y26" s="1"/>
      <c r="Z26" s="1" t="s">
        <v>105</v>
      </c>
      <c r="AA26" s="1"/>
      <c r="AB26" s="1"/>
      <c r="AC26" s="1"/>
      <c r="AD26" s="1"/>
      <c r="AE26" s="1"/>
      <c r="AF26" s="1"/>
      <c r="AG26" s="1"/>
      <c r="AH26" s="61"/>
    </row>
    <row r="27" spans="1:34" ht="30">
      <c r="A27" s="14"/>
      <c r="B27" s="14" t="s">
        <v>97</v>
      </c>
      <c r="C27" s="14" t="s">
        <v>685</v>
      </c>
      <c r="D27" s="12" t="s">
        <v>724</v>
      </c>
      <c r="E27" s="13" t="s">
        <v>672</v>
      </c>
      <c r="F27" s="12" t="s">
        <v>14</v>
      </c>
      <c r="G27" s="55" t="s">
        <v>11</v>
      </c>
      <c r="H27" s="1" t="s">
        <v>101</v>
      </c>
      <c r="I27" s="12" t="s">
        <v>112</v>
      </c>
      <c r="J27" s="12" t="s">
        <v>107</v>
      </c>
      <c r="K27" s="12"/>
      <c r="L27" s="12" t="s">
        <v>725</v>
      </c>
      <c r="M27" s="55"/>
      <c r="N27" s="55"/>
      <c r="O27" s="55"/>
      <c r="P27" s="55"/>
      <c r="Q27" s="55"/>
      <c r="R27" s="14"/>
      <c r="S27" s="14" t="s">
        <v>105</v>
      </c>
      <c r="T27" s="14"/>
      <c r="U27" s="14"/>
      <c r="V27" s="14" t="s">
        <v>105</v>
      </c>
      <c r="W27" s="14"/>
      <c r="X27" s="14"/>
      <c r="Y27" s="14"/>
      <c r="Z27" s="14" t="s">
        <v>105</v>
      </c>
      <c r="AA27" s="14"/>
      <c r="AB27" s="14"/>
      <c r="AC27" s="14"/>
      <c r="AD27" s="14"/>
      <c r="AE27" s="14"/>
      <c r="AF27" s="14"/>
      <c r="AG27" s="14"/>
      <c r="AH27" s="61"/>
    </row>
    <row r="28" spans="1:34" ht="30">
      <c r="A28" s="14"/>
      <c r="B28" s="14" t="s">
        <v>97</v>
      </c>
      <c r="C28" s="14" t="s">
        <v>685</v>
      </c>
      <c r="D28" s="12" t="s">
        <v>726</v>
      </c>
      <c r="E28" s="12" t="s">
        <v>672</v>
      </c>
      <c r="F28" s="12" t="s">
        <v>14</v>
      </c>
      <c r="G28" s="55" t="s">
        <v>11</v>
      </c>
      <c r="H28" s="14" t="s">
        <v>101</v>
      </c>
      <c r="I28" s="12" t="s">
        <v>112</v>
      </c>
      <c r="J28" s="12" t="s">
        <v>107</v>
      </c>
      <c r="K28" s="12"/>
      <c r="L28" s="65" t="s">
        <v>727</v>
      </c>
      <c r="M28" s="55"/>
      <c r="N28" s="1"/>
      <c r="O28" s="1"/>
      <c r="P28" s="1"/>
      <c r="Q28" s="1"/>
      <c r="R28" s="1"/>
      <c r="S28" s="1" t="s">
        <v>105</v>
      </c>
      <c r="T28" s="1"/>
      <c r="U28" s="1"/>
      <c r="V28" s="1" t="s">
        <v>105</v>
      </c>
      <c r="W28" s="1"/>
      <c r="X28" s="1"/>
      <c r="Y28" s="1"/>
      <c r="Z28" s="1" t="s">
        <v>105</v>
      </c>
      <c r="AA28" s="1"/>
      <c r="AB28" s="1"/>
      <c r="AC28" s="1"/>
      <c r="AD28" s="1"/>
      <c r="AE28" s="1"/>
      <c r="AF28" s="1"/>
      <c r="AG28" s="1"/>
      <c r="AH28" s="61"/>
    </row>
    <row r="29" spans="1:34" ht="30">
      <c r="A29" s="14"/>
      <c r="B29" s="14" t="s">
        <v>97</v>
      </c>
      <c r="C29" s="14" t="s">
        <v>728</v>
      </c>
      <c r="D29" s="12" t="s">
        <v>729</v>
      </c>
      <c r="E29" s="12" t="s">
        <v>409</v>
      </c>
      <c r="F29" s="65" t="s">
        <v>12</v>
      </c>
      <c r="G29" s="55" t="s">
        <v>11</v>
      </c>
      <c r="H29" s="14" t="s">
        <v>145</v>
      </c>
      <c r="I29" s="12" t="s">
        <v>151</v>
      </c>
      <c r="J29" s="12" t="s">
        <v>107</v>
      </c>
      <c r="K29" s="12"/>
      <c r="L29" s="65" t="s">
        <v>147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61"/>
    </row>
    <row r="30" spans="1:34" ht="30">
      <c r="A30" s="34"/>
      <c r="B30" s="34" t="s">
        <v>97</v>
      </c>
      <c r="C30" s="34" t="s">
        <v>728</v>
      </c>
      <c r="D30" s="13" t="s">
        <v>730</v>
      </c>
      <c r="E30" s="13" t="s">
        <v>731</v>
      </c>
      <c r="F30" s="12" t="s">
        <v>14</v>
      </c>
      <c r="G30" s="55" t="s">
        <v>11</v>
      </c>
      <c r="H30" s="14" t="s">
        <v>145</v>
      </c>
      <c r="I30" s="12" t="s">
        <v>151</v>
      </c>
      <c r="J30" s="12" t="s">
        <v>107</v>
      </c>
      <c r="K30" s="12"/>
      <c r="L30" s="12" t="s">
        <v>147</v>
      </c>
      <c r="M30" s="55"/>
      <c r="N30" s="55"/>
      <c r="O30" s="55"/>
      <c r="P30" s="55"/>
      <c r="Q30" s="55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61"/>
    </row>
    <row r="31" spans="1:34" ht="30">
      <c r="A31" s="34"/>
      <c r="B31" s="34" t="s">
        <v>97</v>
      </c>
      <c r="C31" s="34" t="s">
        <v>728</v>
      </c>
      <c r="D31" s="13" t="s">
        <v>732</v>
      </c>
      <c r="E31" s="13" t="s">
        <v>731</v>
      </c>
      <c r="F31" s="12" t="s">
        <v>14</v>
      </c>
      <c r="G31" s="55" t="s">
        <v>11</v>
      </c>
      <c r="H31" s="14" t="s">
        <v>145</v>
      </c>
      <c r="I31" s="12" t="s">
        <v>119</v>
      </c>
      <c r="J31" s="12" t="s">
        <v>107</v>
      </c>
      <c r="K31" s="12"/>
      <c r="L31" s="12" t="s">
        <v>147</v>
      </c>
      <c r="M31" s="55"/>
      <c r="N31" s="55"/>
      <c r="O31" s="55"/>
      <c r="P31" s="55"/>
      <c r="Q31" s="55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61"/>
    </row>
    <row r="32" spans="1:34" ht="45">
      <c r="A32" s="14"/>
      <c r="B32" s="14" t="s">
        <v>97</v>
      </c>
      <c r="C32" s="14" t="s">
        <v>733</v>
      </c>
      <c r="D32" s="12" t="s">
        <v>734</v>
      </c>
      <c r="E32" s="13" t="s">
        <v>731</v>
      </c>
      <c r="F32" s="12" t="s">
        <v>14</v>
      </c>
      <c r="G32" s="55" t="s">
        <v>11</v>
      </c>
      <c r="H32" s="14" t="s">
        <v>101</v>
      </c>
      <c r="I32" s="12" t="s">
        <v>112</v>
      </c>
      <c r="J32" s="12" t="s">
        <v>674</v>
      </c>
      <c r="K32" s="12"/>
      <c r="L32" s="12" t="s">
        <v>735</v>
      </c>
      <c r="M32" s="55"/>
      <c r="N32" s="55"/>
      <c r="O32" s="1" t="s">
        <v>105</v>
      </c>
      <c r="P32" s="1" t="s">
        <v>105</v>
      </c>
      <c r="Q32" s="1"/>
      <c r="R32" s="1"/>
      <c r="S32" s="1" t="s">
        <v>105</v>
      </c>
      <c r="T32" s="1" t="s">
        <v>105</v>
      </c>
      <c r="U32" s="1"/>
      <c r="V32" s="1" t="s">
        <v>105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61"/>
    </row>
    <row r="33" spans="1:34" ht="30">
      <c r="A33" s="34"/>
      <c r="B33" s="34" t="s">
        <v>97</v>
      </c>
      <c r="C33" s="34" t="s">
        <v>728</v>
      </c>
      <c r="D33" s="13" t="s">
        <v>736</v>
      </c>
      <c r="E33" s="13" t="s">
        <v>731</v>
      </c>
      <c r="F33" s="12" t="s">
        <v>14</v>
      </c>
      <c r="G33" s="55" t="s">
        <v>11</v>
      </c>
      <c r="H33" s="14" t="s">
        <v>145</v>
      </c>
      <c r="I33" s="12" t="s">
        <v>119</v>
      </c>
      <c r="J33" s="12" t="s">
        <v>107</v>
      </c>
      <c r="K33" s="12"/>
      <c r="L33" s="12" t="s">
        <v>147</v>
      </c>
      <c r="M33" s="55"/>
      <c r="N33" s="55"/>
      <c r="O33" s="55"/>
      <c r="P33" s="55"/>
      <c r="Q33" s="55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61"/>
    </row>
    <row r="34" spans="1:34" ht="30">
      <c r="A34" s="14"/>
      <c r="B34" s="14" t="s">
        <v>97</v>
      </c>
      <c r="C34" s="14" t="s">
        <v>705</v>
      </c>
      <c r="D34" s="12" t="s">
        <v>737</v>
      </c>
      <c r="E34" s="1" t="s">
        <v>103</v>
      </c>
      <c r="F34" s="12" t="s">
        <v>14</v>
      </c>
      <c r="G34" s="55" t="s">
        <v>11</v>
      </c>
      <c r="H34" s="14" t="s">
        <v>101</v>
      </c>
      <c r="I34" s="12" t="s">
        <v>112</v>
      </c>
      <c r="J34" s="1" t="s">
        <v>103</v>
      </c>
      <c r="K34" s="12"/>
      <c r="L34" s="65" t="s">
        <v>738</v>
      </c>
      <c r="M34" s="55"/>
      <c r="N34" s="1"/>
      <c r="O34" s="1"/>
      <c r="P34" s="1" t="s">
        <v>105</v>
      </c>
      <c r="Q34" s="1"/>
      <c r="R34" s="1"/>
      <c r="S34" s="1"/>
      <c r="T34" s="1" t="s">
        <v>105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61"/>
    </row>
    <row r="35" spans="1:34" ht="30">
      <c r="A35" s="14"/>
      <c r="B35" s="14" t="s">
        <v>97</v>
      </c>
      <c r="C35" s="14" t="s">
        <v>705</v>
      </c>
      <c r="D35" s="12" t="s">
        <v>739</v>
      </c>
      <c r="E35" s="12" t="s">
        <v>672</v>
      </c>
      <c r="F35" s="12" t="s">
        <v>14</v>
      </c>
      <c r="G35" s="55" t="s">
        <v>11</v>
      </c>
      <c r="H35" s="1" t="s">
        <v>101</v>
      </c>
      <c r="I35" s="12" t="s">
        <v>112</v>
      </c>
      <c r="J35" s="12" t="s">
        <v>107</v>
      </c>
      <c r="K35" s="12"/>
      <c r="L35" s="65" t="s">
        <v>740</v>
      </c>
      <c r="M35" s="55"/>
      <c r="N35" s="1"/>
      <c r="O35" s="1"/>
      <c r="P35" s="1"/>
      <c r="Q35" s="1"/>
      <c r="R35" s="1"/>
      <c r="S35" s="14" t="s">
        <v>105</v>
      </c>
      <c r="T35" s="1" t="s">
        <v>105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61"/>
    </row>
    <row r="36" spans="1:34" ht="30">
      <c r="A36" s="14"/>
      <c r="B36" s="14" t="s">
        <v>97</v>
      </c>
      <c r="C36" s="14" t="s">
        <v>741</v>
      </c>
      <c r="D36" s="12" t="s">
        <v>742</v>
      </c>
      <c r="E36" s="12" t="s">
        <v>672</v>
      </c>
      <c r="F36" s="12" t="s">
        <v>14</v>
      </c>
      <c r="G36" s="55" t="s">
        <v>11</v>
      </c>
      <c r="H36" s="1" t="s">
        <v>101</v>
      </c>
      <c r="I36" s="12" t="s">
        <v>112</v>
      </c>
      <c r="J36" s="12" t="s">
        <v>107</v>
      </c>
      <c r="K36" s="12"/>
      <c r="L36" s="65" t="s">
        <v>743</v>
      </c>
      <c r="M36" s="55"/>
      <c r="N36" s="1"/>
      <c r="O36" s="1"/>
      <c r="P36" s="1"/>
      <c r="Q36" s="1"/>
      <c r="R36" s="1"/>
      <c r="S36" s="1" t="s">
        <v>105</v>
      </c>
      <c r="T36" s="1"/>
      <c r="U36" s="1"/>
      <c r="V36" s="1" t="s">
        <v>105</v>
      </c>
      <c r="W36" s="1"/>
      <c r="X36" s="1"/>
      <c r="Y36" s="1"/>
      <c r="Z36" s="1" t="s">
        <v>105</v>
      </c>
      <c r="AA36" s="1"/>
      <c r="AB36" s="1"/>
      <c r="AC36" s="1"/>
      <c r="AD36" s="1"/>
      <c r="AE36" s="1"/>
      <c r="AF36" s="1"/>
      <c r="AG36" s="1"/>
      <c r="AH36" s="61"/>
    </row>
    <row r="37" spans="1:34" ht="30">
      <c r="A37" s="14"/>
      <c r="B37" s="14" t="s">
        <v>97</v>
      </c>
      <c r="C37" s="14" t="s">
        <v>741</v>
      </c>
      <c r="D37" s="12" t="s">
        <v>744</v>
      </c>
      <c r="E37" s="12" t="s">
        <v>672</v>
      </c>
      <c r="F37" s="12" t="s">
        <v>14</v>
      </c>
      <c r="G37" s="55" t="s">
        <v>11</v>
      </c>
      <c r="H37" s="1" t="s">
        <v>101</v>
      </c>
      <c r="I37" s="12" t="s">
        <v>112</v>
      </c>
      <c r="J37" s="12" t="s">
        <v>107</v>
      </c>
      <c r="K37" s="12"/>
      <c r="L37" s="65" t="s">
        <v>745</v>
      </c>
      <c r="M37" s="55"/>
      <c r="N37" s="1"/>
      <c r="O37" s="1"/>
      <c r="P37" s="1"/>
      <c r="Q37" s="1"/>
      <c r="R37" s="1"/>
      <c r="S37" s="1" t="s">
        <v>105</v>
      </c>
      <c r="T37" s="1" t="s">
        <v>105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61"/>
    </row>
    <row r="38" spans="1:34" ht="30">
      <c r="A38" s="14"/>
      <c r="B38" s="14" t="s">
        <v>97</v>
      </c>
      <c r="C38" s="14" t="s">
        <v>741</v>
      </c>
      <c r="D38" s="12" t="s">
        <v>746</v>
      </c>
      <c r="E38" s="12" t="s">
        <v>672</v>
      </c>
      <c r="F38" s="12" t="s">
        <v>14</v>
      </c>
      <c r="G38" s="55" t="s">
        <v>11</v>
      </c>
      <c r="H38" s="1" t="s">
        <v>101</v>
      </c>
      <c r="I38" s="12" t="s">
        <v>112</v>
      </c>
      <c r="J38" s="12" t="s">
        <v>107</v>
      </c>
      <c r="K38" s="12"/>
      <c r="L38" s="65" t="s">
        <v>745</v>
      </c>
      <c r="M38" s="55"/>
      <c r="N38" s="1"/>
      <c r="O38" s="1"/>
      <c r="P38" s="1"/>
      <c r="Q38" s="1"/>
      <c r="R38" s="1"/>
      <c r="S38" s="1" t="s">
        <v>105</v>
      </c>
      <c r="T38" s="1" t="s">
        <v>105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61"/>
    </row>
    <row r="39" spans="1:34" ht="30">
      <c r="A39" s="14"/>
      <c r="B39" s="14" t="s">
        <v>96</v>
      </c>
      <c r="C39" s="14" t="s">
        <v>741</v>
      </c>
      <c r="D39" s="12" t="s">
        <v>747</v>
      </c>
      <c r="E39" s="12" t="s">
        <v>672</v>
      </c>
      <c r="F39" s="12" t="s">
        <v>14</v>
      </c>
      <c r="G39" s="55" t="s">
        <v>11</v>
      </c>
      <c r="H39" s="1" t="s">
        <v>101</v>
      </c>
      <c r="I39" s="12" t="s">
        <v>112</v>
      </c>
      <c r="J39" s="12" t="s">
        <v>107</v>
      </c>
      <c r="K39" s="12"/>
      <c r="L39" s="65" t="s">
        <v>748</v>
      </c>
      <c r="M39" s="55"/>
      <c r="N39" s="1"/>
      <c r="O39" s="1"/>
      <c r="P39" s="1"/>
      <c r="Q39" s="1"/>
      <c r="R39" s="1"/>
      <c r="S39" s="1" t="s">
        <v>122</v>
      </c>
      <c r="T39" s="1" t="s">
        <v>105</v>
      </c>
      <c r="U39" s="1"/>
      <c r="V39" s="1"/>
      <c r="W39" s="1"/>
      <c r="X39" s="1"/>
      <c r="Y39" s="1"/>
      <c r="Z39" s="1" t="s">
        <v>105</v>
      </c>
      <c r="AA39" s="1"/>
      <c r="AB39" s="1"/>
      <c r="AC39" s="1"/>
      <c r="AD39" s="1"/>
      <c r="AE39" s="1"/>
      <c r="AF39" s="1"/>
      <c r="AG39" s="1"/>
      <c r="AH39" s="61"/>
    </row>
    <row r="40" spans="1:34" ht="30">
      <c r="A40" s="14"/>
      <c r="B40" s="14" t="s">
        <v>97</v>
      </c>
      <c r="C40" s="14" t="s">
        <v>741</v>
      </c>
      <c r="D40" s="12" t="s">
        <v>752</v>
      </c>
      <c r="E40" s="12" t="s">
        <v>672</v>
      </c>
      <c r="F40" s="12" t="s">
        <v>14</v>
      </c>
      <c r="G40" s="55" t="s">
        <v>11</v>
      </c>
      <c r="H40" s="1" t="s">
        <v>101</v>
      </c>
      <c r="I40" s="12" t="s">
        <v>112</v>
      </c>
      <c r="J40" s="12" t="s">
        <v>107</v>
      </c>
      <c r="K40" s="12"/>
      <c r="L40" s="65" t="s">
        <v>753</v>
      </c>
      <c r="M40" s="55"/>
      <c r="N40" s="1"/>
      <c r="O40" s="1" t="s">
        <v>754</v>
      </c>
      <c r="P40" s="1"/>
      <c r="Q40" s="1"/>
      <c r="R40" s="1"/>
      <c r="S40" s="1" t="s">
        <v>105</v>
      </c>
      <c r="T40" s="1" t="s">
        <v>105</v>
      </c>
      <c r="U40" s="1"/>
      <c r="V40" s="1" t="s">
        <v>105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61"/>
    </row>
    <row r="41" spans="1:34" ht="30">
      <c r="A41" s="34"/>
      <c r="B41" s="34" t="s">
        <v>97</v>
      </c>
      <c r="C41" s="34" t="s">
        <v>755</v>
      </c>
      <c r="D41" s="13" t="s">
        <v>756</v>
      </c>
      <c r="E41" s="12" t="s">
        <v>757</v>
      </c>
      <c r="F41" s="12" t="s">
        <v>14</v>
      </c>
      <c r="G41" s="55" t="s">
        <v>11</v>
      </c>
      <c r="H41" s="1" t="s">
        <v>101</v>
      </c>
      <c r="I41" s="12" t="s">
        <v>112</v>
      </c>
      <c r="J41" s="12" t="s">
        <v>107</v>
      </c>
      <c r="K41" s="12"/>
      <c r="L41" s="12" t="s">
        <v>758</v>
      </c>
      <c r="M41" s="55"/>
      <c r="N41" s="55"/>
      <c r="O41" s="55"/>
      <c r="P41" s="55" t="s">
        <v>105</v>
      </c>
      <c r="Q41" s="55"/>
      <c r="R41" s="14"/>
      <c r="S41" s="14"/>
      <c r="T41" s="14" t="s">
        <v>105</v>
      </c>
      <c r="U41" s="14"/>
      <c r="V41" s="14" t="s">
        <v>105</v>
      </c>
      <c r="W41" s="14"/>
      <c r="X41" s="14"/>
      <c r="Y41" s="14"/>
      <c r="Z41" s="14" t="s">
        <v>122</v>
      </c>
      <c r="AA41" s="14"/>
      <c r="AB41" s="14"/>
      <c r="AC41" s="14"/>
      <c r="AD41" s="14"/>
      <c r="AE41" s="14"/>
      <c r="AF41" s="14"/>
      <c r="AG41" s="14"/>
      <c r="AH41" s="61" t="s">
        <v>759</v>
      </c>
    </row>
    <row r="42" spans="1:34" ht="30">
      <c r="A42" s="34"/>
      <c r="B42" s="34" t="s">
        <v>97</v>
      </c>
      <c r="C42" s="34" t="s">
        <v>662</v>
      </c>
      <c r="D42" s="13" t="s">
        <v>760</v>
      </c>
      <c r="E42" s="13" t="s">
        <v>687</v>
      </c>
      <c r="F42" s="12" t="s">
        <v>14</v>
      </c>
      <c r="G42" s="55" t="s">
        <v>11</v>
      </c>
      <c r="H42" s="1" t="s">
        <v>101</v>
      </c>
      <c r="I42" s="12" t="s">
        <v>112</v>
      </c>
      <c r="J42" s="12" t="s">
        <v>107</v>
      </c>
      <c r="K42" s="12"/>
      <c r="L42" s="12" t="s">
        <v>761</v>
      </c>
      <c r="M42" s="55"/>
      <c r="N42" s="55"/>
      <c r="O42" s="55"/>
      <c r="P42" s="55"/>
      <c r="Q42" s="55"/>
      <c r="R42" s="14"/>
      <c r="S42" s="14" t="s">
        <v>122</v>
      </c>
      <c r="T42" s="14" t="s">
        <v>122</v>
      </c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61"/>
    </row>
    <row r="43" spans="1:34" ht="30">
      <c r="A43" s="34"/>
      <c r="B43" s="34" t="s">
        <v>97</v>
      </c>
      <c r="C43" s="34" t="s">
        <v>662</v>
      </c>
      <c r="D43" s="13" t="s">
        <v>762</v>
      </c>
      <c r="E43" s="13" t="s">
        <v>687</v>
      </c>
      <c r="F43" s="12" t="s">
        <v>14</v>
      </c>
      <c r="G43" s="55" t="s">
        <v>11</v>
      </c>
      <c r="H43" s="1" t="s">
        <v>101</v>
      </c>
      <c r="I43" s="12" t="s">
        <v>112</v>
      </c>
      <c r="J43" s="12" t="s">
        <v>107</v>
      </c>
      <c r="K43" s="12"/>
      <c r="L43" s="12" t="s">
        <v>763</v>
      </c>
      <c r="M43" s="55"/>
      <c r="N43" s="55"/>
      <c r="O43" s="55"/>
      <c r="P43" s="55"/>
      <c r="Q43" s="55"/>
      <c r="R43" s="14"/>
      <c r="S43" s="14"/>
      <c r="T43" s="14"/>
      <c r="U43" s="14"/>
      <c r="V43" s="14" t="s">
        <v>105</v>
      </c>
      <c r="W43" s="14"/>
      <c r="X43" s="14" t="s">
        <v>105</v>
      </c>
      <c r="Y43" s="14"/>
      <c r="Z43" s="14" t="s">
        <v>105</v>
      </c>
      <c r="AA43" s="14"/>
      <c r="AB43" s="14"/>
      <c r="AC43" s="14"/>
      <c r="AD43" s="14"/>
      <c r="AE43" s="14"/>
      <c r="AF43" s="14"/>
      <c r="AG43" s="14"/>
      <c r="AH43" s="61"/>
    </row>
    <row r="44" spans="1:34" ht="45">
      <c r="A44" s="14"/>
      <c r="B44" s="14" t="s">
        <v>97</v>
      </c>
      <c r="C44" s="14" t="s">
        <v>662</v>
      </c>
      <c r="D44" s="12" t="s">
        <v>764</v>
      </c>
      <c r="E44" s="12" t="s">
        <v>684</v>
      </c>
      <c r="F44" s="12" t="s">
        <v>673</v>
      </c>
      <c r="G44" s="55" t="s">
        <v>14</v>
      </c>
      <c r="H44" s="1" t="s">
        <v>101</v>
      </c>
      <c r="I44" s="12" t="s">
        <v>103</v>
      </c>
      <c r="J44" s="12" t="s">
        <v>674</v>
      </c>
      <c r="K44" s="12"/>
      <c r="L44" s="65" t="s">
        <v>676</v>
      </c>
      <c r="M44" s="55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61"/>
    </row>
    <row r="45" spans="1:34" ht="30">
      <c r="A45" s="34"/>
      <c r="B45" s="34" t="s">
        <v>97</v>
      </c>
      <c r="C45" s="34" t="s">
        <v>662</v>
      </c>
      <c r="D45" s="13" t="s">
        <v>765</v>
      </c>
      <c r="E45" s="13" t="s">
        <v>687</v>
      </c>
      <c r="F45" s="12" t="s">
        <v>14</v>
      </c>
      <c r="G45" s="55" t="s">
        <v>11</v>
      </c>
      <c r="H45" s="1" t="s">
        <v>101</v>
      </c>
      <c r="I45" s="12" t="s">
        <v>112</v>
      </c>
      <c r="J45" s="12" t="s">
        <v>107</v>
      </c>
      <c r="K45" s="12"/>
      <c r="L45" s="12" t="s">
        <v>766</v>
      </c>
      <c r="M45" s="55"/>
      <c r="N45" s="55"/>
      <c r="O45" s="55"/>
      <c r="P45" s="55"/>
      <c r="Q45" s="55"/>
      <c r="R45" s="14"/>
      <c r="S45" s="14" t="s">
        <v>122</v>
      </c>
      <c r="T45" s="14" t="s">
        <v>122</v>
      </c>
      <c r="U45" s="14"/>
      <c r="V45" s="14" t="s">
        <v>105</v>
      </c>
      <c r="W45" s="14"/>
      <c r="X45" s="14"/>
      <c r="Y45" s="14"/>
      <c r="Z45" s="14" t="s">
        <v>105</v>
      </c>
      <c r="AA45" s="14"/>
      <c r="AB45" s="14"/>
      <c r="AC45" s="14"/>
      <c r="AD45" s="14"/>
      <c r="AE45" s="14"/>
      <c r="AF45" s="14"/>
      <c r="AG45" s="14"/>
      <c r="AH45" s="61" t="s">
        <v>759</v>
      </c>
    </row>
    <row r="46" spans="1:34" ht="30">
      <c r="A46" s="34"/>
      <c r="B46" s="34" t="s">
        <v>97</v>
      </c>
      <c r="C46" s="34" t="s">
        <v>662</v>
      </c>
      <c r="D46" s="13" t="s">
        <v>767</v>
      </c>
      <c r="E46" s="13" t="s">
        <v>687</v>
      </c>
      <c r="F46" s="12" t="s">
        <v>14</v>
      </c>
      <c r="G46" s="55" t="s">
        <v>11</v>
      </c>
      <c r="H46" s="1" t="s">
        <v>101</v>
      </c>
      <c r="I46" s="12" t="s">
        <v>112</v>
      </c>
      <c r="J46" s="12" t="s">
        <v>107</v>
      </c>
      <c r="K46" s="12"/>
      <c r="L46" s="12" t="s">
        <v>768</v>
      </c>
      <c r="M46" s="55"/>
      <c r="N46" s="55"/>
      <c r="O46" s="55" t="s">
        <v>105</v>
      </c>
      <c r="P46" s="55"/>
      <c r="Q46" s="55"/>
      <c r="R46" s="14"/>
      <c r="S46" s="14"/>
      <c r="T46" s="14" t="s">
        <v>105</v>
      </c>
      <c r="U46" s="14"/>
      <c r="V46" s="14" t="s">
        <v>105</v>
      </c>
      <c r="W46" s="14"/>
      <c r="X46" s="14"/>
      <c r="Y46" s="14"/>
      <c r="Z46" s="14" t="s">
        <v>105</v>
      </c>
      <c r="AA46" s="14"/>
      <c r="AB46" s="14"/>
      <c r="AC46" s="14"/>
      <c r="AD46" s="14" t="s">
        <v>105</v>
      </c>
      <c r="AE46" s="14"/>
      <c r="AF46" s="14"/>
      <c r="AG46" s="14"/>
      <c r="AH46" s="61"/>
    </row>
    <row r="47" spans="1:34" ht="30">
      <c r="A47" s="34"/>
      <c r="B47" s="34" t="s">
        <v>97</v>
      </c>
      <c r="C47" s="34" t="s">
        <v>662</v>
      </c>
      <c r="D47" s="13" t="s">
        <v>769</v>
      </c>
      <c r="E47" s="13" t="s">
        <v>687</v>
      </c>
      <c r="F47" s="12" t="s">
        <v>14</v>
      </c>
      <c r="G47" s="55" t="s">
        <v>11</v>
      </c>
      <c r="H47" s="1" t="s">
        <v>101</v>
      </c>
      <c r="I47" s="12" t="s">
        <v>112</v>
      </c>
      <c r="J47" s="12" t="s">
        <v>107</v>
      </c>
      <c r="K47" s="12"/>
      <c r="L47" s="12" t="s">
        <v>770</v>
      </c>
      <c r="M47" s="55"/>
      <c r="N47" s="55"/>
      <c r="O47" s="55"/>
      <c r="P47" s="55"/>
      <c r="Q47" s="55"/>
      <c r="R47" s="14"/>
      <c r="S47" s="14"/>
      <c r="T47" s="14"/>
      <c r="U47" s="14"/>
      <c r="V47" s="14" t="s">
        <v>105</v>
      </c>
      <c r="W47" s="14"/>
      <c r="X47" s="14"/>
      <c r="Y47" s="14"/>
      <c r="Z47" s="14" t="s">
        <v>105</v>
      </c>
      <c r="AA47" s="14"/>
      <c r="AB47" s="14"/>
      <c r="AC47" s="14"/>
      <c r="AD47" s="14" t="s">
        <v>105</v>
      </c>
      <c r="AE47" s="14"/>
      <c r="AF47" s="14"/>
      <c r="AG47" s="14"/>
      <c r="AH47" s="61"/>
    </row>
    <row r="48" spans="1:34" ht="30">
      <c r="A48" s="34"/>
      <c r="B48" s="34" t="s">
        <v>97</v>
      </c>
      <c r="C48" s="34" t="s">
        <v>662</v>
      </c>
      <c r="D48" s="13" t="s">
        <v>771</v>
      </c>
      <c r="E48" s="13" t="s">
        <v>687</v>
      </c>
      <c r="F48" s="12" t="s">
        <v>14</v>
      </c>
      <c r="G48" s="55" t="s">
        <v>11</v>
      </c>
      <c r="H48" s="1" t="s">
        <v>101</v>
      </c>
      <c r="I48" s="12" t="s">
        <v>112</v>
      </c>
      <c r="J48" s="12" t="s">
        <v>107</v>
      </c>
      <c r="K48" s="12"/>
      <c r="L48" s="12" t="s">
        <v>772</v>
      </c>
      <c r="M48" s="55"/>
      <c r="N48" s="55"/>
      <c r="O48" s="55"/>
      <c r="P48" s="55"/>
      <c r="Q48" s="55"/>
      <c r="R48" s="14"/>
      <c r="S48" s="14"/>
      <c r="T48" s="14"/>
      <c r="U48" s="14"/>
      <c r="V48" s="14" t="s">
        <v>105</v>
      </c>
      <c r="W48" s="14"/>
      <c r="X48" s="14"/>
      <c r="Y48" s="14"/>
      <c r="Z48" s="14" t="s">
        <v>105</v>
      </c>
      <c r="AA48" s="14"/>
      <c r="AB48" s="14"/>
      <c r="AC48" s="14"/>
      <c r="AD48" s="14"/>
      <c r="AE48" s="14"/>
      <c r="AF48" s="14"/>
      <c r="AG48" s="14"/>
      <c r="AH48" s="61"/>
    </row>
    <row r="49" spans="1:35" ht="30">
      <c r="A49" s="34"/>
      <c r="B49" s="34" t="s">
        <v>97</v>
      </c>
      <c r="C49" s="34" t="s">
        <v>662</v>
      </c>
      <c r="D49" s="13" t="s">
        <v>773</v>
      </c>
      <c r="E49" s="13" t="s">
        <v>687</v>
      </c>
      <c r="F49" s="12" t="s">
        <v>14</v>
      </c>
      <c r="G49" s="55" t="s">
        <v>11</v>
      </c>
      <c r="H49" s="1" t="s">
        <v>101</v>
      </c>
      <c r="I49" s="12" t="s">
        <v>112</v>
      </c>
      <c r="J49" s="12" t="s">
        <v>107</v>
      </c>
      <c r="K49" s="12"/>
      <c r="L49" s="12" t="s">
        <v>147</v>
      </c>
      <c r="M49" s="55"/>
      <c r="N49" s="55"/>
      <c r="O49" s="55"/>
      <c r="P49" s="55"/>
      <c r="Q49" s="55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61"/>
    </row>
    <row r="50" spans="1:35" ht="30">
      <c r="A50" s="14"/>
      <c r="B50" s="14" t="s">
        <v>96</v>
      </c>
      <c r="C50" s="14" t="s">
        <v>662</v>
      </c>
      <c r="D50" s="12" t="s">
        <v>774</v>
      </c>
      <c r="E50" s="12" t="s">
        <v>731</v>
      </c>
      <c r="F50" s="12" t="s">
        <v>14</v>
      </c>
      <c r="G50" s="55" t="s">
        <v>11</v>
      </c>
      <c r="H50" s="14" t="s">
        <v>101</v>
      </c>
      <c r="I50" s="12" t="s">
        <v>112</v>
      </c>
      <c r="J50" s="12" t="s">
        <v>107</v>
      </c>
      <c r="K50" s="12"/>
      <c r="L50" s="12" t="s">
        <v>775</v>
      </c>
      <c r="M50" s="55"/>
      <c r="N50" s="55"/>
      <c r="O50" s="55" t="s">
        <v>105</v>
      </c>
      <c r="P50" s="55"/>
      <c r="Q50" s="55"/>
      <c r="R50" s="14"/>
      <c r="S50" s="14" t="s">
        <v>105</v>
      </c>
      <c r="T50" s="14"/>
      <c r="U50" s="14"/>
      <c r="V50" s="14" t="s">
        <v>105</v>
      </c>
      <c r="W50" s="14"/>
      <c r="X50" s="14"/>
      <c r="Y50" s="14"/>
      <c r="Z50" s="14" t="s">
        <v>105</v>
      </c>
      <c r="AA50" s="14"/>
      <c r="AB50" s="14"/>
      <c r="AC50" s="14"/>
      <c r="AD50" s="14"/>
      <c r="AE50" s="14"/>
      <c r="AF50" s="14"/>
      <c r="AG50" s="14"/>
      <c r="AH50" s="61"/>
    </row>
    <row r="51" spans="1:35" ht="30">
      <c r="A51" s="207"/>
      <c r="B51" s="34" t="s">
        <v>97</v>
      </c>
      <c r="C51" s="34" t="s">
        <v>662</v>
      </c>
      <c r="D51" s="13" t="s">
        <v>778</v>
      </c>
      <c r="E51" s="13" t="s">
        <v>731</v>
      </c>
      <c r="F51" s="12" t="s">
        <v>14</v>
      </c>
      <c r="G51" s="55" t="s">
        <v>11</v>
      </c>
      <c r="H51" s="1" t="s">
        <v>145</v>
      </c>
      <c r="I51" s="12" t="s">
        <v>119</v>
      </c>
      <c r="J51" s="12" t="s">
        <v>107</v>
      </c>
      <c r="K51" s="12"/>
      <c r="L51" s="12" t="s">
        <v>147</v>
      </c>
      <c r="M51" s="55"/>
      <c r="N51" s="55"/>
      <c r="O51" s="55"/>
      <c r="P51" s="55"/>
      <c r="Q51" s="55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208"/>
    </row>
    <row r="52" spans="1:35" ht="30">
      <c r="A52" s="34"/>
      <c r="B52" s="34" t="s">
        <v>96</v>
      </c>
      <c r="C52" s="34" t="s">
        <v>662</v>
      </c>
      <c r="D52" s="13" t="s">
        <v>783</v>
      </c>
      <c r="E52" s="12" t="s">
        <v>672</v>
      </c>
      <c r="F52" s="12" t="s">
        <v>14</v>
      </c>
      <c r="G52" s="55" t="s">
        <v>11</v>
      </c>
      <c r="H52" s="1" t="s">
        <v>101</v>
      </c>
      <c r="I52" s="12" t="s">
        <v>112</v>
      </c>
      <c r="J52" s="12" t="s">
        <v>107</v>
      </c>
      <c r="K52" s="12"/>
      <c r="L52" s="65" t="s">
        <v>784</v>
      </c>
      <c r="M52" s="55"/>
      <c r="N52" s="1"/>
      <c r="O52" s="1" t="s">
        <v>105</v>
      </c>
      <c r="P52" s="1"/>
      <c r="Q52" s="1"/>
      <c r="R52" s="1"/>
      <c r="S52" s="1" t="s">
        <v>105</v>
      </c>
      <c r="T52" s="1"/>
      <c r="U52" s="1"/>
      <c r="V52" s="1" t="s">
        <v>785</v>
      </c>
      <c r="W52" s="1"/>
      <c r="X52" s="1"/>
      <c r="Y52" s="1"/>
      <c r="Z52" s="1" t="s">
        <v>105</v>
      </c>
      <c r="AA52" s="1"/>
      <c r="AB52" s="1"/>
      <c r="AC52" s="1"/>
      <c r="AD52" s="1"/>
      <c r="AE52" s="1"/>
      <c r="AF52" s="1"/>
      <c r="AG52" s="1"/>
      <c r="AH52" s="61"/>
    </row>
    <row r="53" spans="1:35">
      <c r="A53" s="34"/>
      <c r="B53" s="34" t="s">
        <v>97</v>
      </c>
      <c r="C53" s="34" t="s">
        <v>662</v>
      </c>
      <c r="D53" s="13" t="s">
        <v>786</v>
      </c>
      <c r="E53" s="12" t="s">
        <v>672</v>
      </c>
      <c r="F53" s="12" t="s">
        <v>673</v>
      </c>
      <c r="G53" s="55" t="s">
        <v>14</v>
      </c>
      <c r="H53" s="1" t="s">
        <v>101</v>
      </c>
      <c r="I53" s="1" t="s">
        <v>103</v>
      </c>
      <c r="J53" s="12" t="s">
        <v>107</v>
      </c>
      <c r="K53" s="12"/>
      <c r="L53" s="65" t="s">
        <v>103</v>
      </c>
      <c r="M53" s="55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61"/>
    </row>
    <row r="54" spans="1:35" ht="30">
      <c r="A54" s="34"/>
      <c r="B54" s="34" t="s">
        <v>97</v>
      </c>
      <c r="C54" s="34" t="s">
        <v>662</v>
      </c>
      <c r="D54" s="13" t="s">
        <v>787</v>
      </c>
      <c r="E54" s="12" t="s">
        <v>672</v>
      </c>
      <c r="F54" s="12" t="s">
        <v>14</v>
      </c>
      <c r="G54" s="55" t="s">
        <v>11</v>
      </c>
      <c r="H54" s="1" t="s">
        <v>101</v>
      </c>
      <c r="I54" s="12" t="s">
        <v>112</v>
      </c>
      <c r="J54" s="12" t="s">
        <v>107</v>
      </c>
      <c r="K54" s="12"/>
      <c r="L54" s="65" t="s">
        <v>788</v>
      </c>
      <c r="M54" s="55"/>
      <c r="N54" s="1"/>
      <c r="O54" s="1"/>
      <c r="P54" s="1" t="s">
        <v>122</v>
      </c>
      <c r="Q54" s="1"/>
      <c r="R54" s="1"/>
      <c r="S54" s="1" t="s">
        <v>239</v>
      </c>
      <c r="T54" s="1"/>
      <c r="U54" s="1"/>
      <c r="V54" s="1" t="s">
        <v>105</v>
      </c>
      <c r="W54" s="1"/>
      <c r="X54" s="1" t="s">
        <v>105</v>
      </c>
      <c r="Y54" s="1"/>
      <c r="Z54" s="1"/>
      <c r="AA54" s="1"/>
      <c r="AB54" s="1"/>
      <c r="AC54" s="1"/>
      <c r="AD54" s="1" t="s">
        <v>105</v>
      </c>
      <c r="AE54" s="1"/>
      <c r="AF54" s="1"/>
      <c r="AG54" s="1"/>
      <c r="AH54" s="61"/>
    </row>
    <row r="55" spans="1:35" s="6" customFormat="1" ht="30">
      <c r="A55" s="34"/>
      <c r="B55" s="34" t="s">
        <v>97</v>
      </c>
      <c r="C55" s="34" t="s">
        <v>662</v>
      </c>
      <c r="D55" s="13" t="s">
        <v>789</v>
      </c>
      <c r="E55" s="12" t="s">
        <v>672</v>
      </c>
      <c r="F55" s="12" t="s">
        <v>14</v>
      </c>
      <c r="G55" s="55" t="s">
        <v>11</v>
      </c>
      <c r="H55" s="1" t="s">
        <v>101</v>
      </c>
      <c r="I55" s="12" t="s">
        <v>112</v>
      </c>
      <c r="J55" s="12" t="s">
        <v>107</v>
      </c>
      <c r="K55" s="12"/>
      <c r="L55" s="65" t="s">
        <v>788</v>
      </c>
      <c r="M55" s="55"/>
      <c r="N55" s="1"/>
      <c r="O55" s="1"/>
      <c r="P55" s="1" t="s">
        <v>122</v>
      </c>
      <c r="Q55" s="1"/>
      <c r="R55" s="1"/>
      <c r="S55" s="1" t="s">
        <v>239</v>
      </c>
      <c r="T55" s="1"/>
      <c r="U55" s="1"/>
      <c r="V55" s="1" t="s">
        <v>105</v>
      </c>
      <c r="W55" s="1"/>
      <c r="X55" s="1" t="s">
        <v>105</v>
      </c>
      <c r="Y55" s="1"/>
      <c r="Z55" s="1"/>
      <c r="AA55" s="1"/>
      <c r="AB55" s="1"/>
      <c r="AC55" s="1"/>
      <c r="AD55" s="1" t="s">
        <v>105</v>
      </c>
      <c r="AE55" s="1"/>
      <c r="AF55" s="1"/>
      <c r="AG55" s="1"/>
      <c r="AH55" s="61"/>
      <c r="AI55" s="29"/>
    </row>
    <row r="56" spans="1:35" s="89" customFormat="1" ht="30">
      <c r="A56" s="14"/>
      <c r="B56" s="14" t="s">
        <v>97</v>
      </c>
      <c r="C56" s="14" t="s">
        <v>662</v>
      </c>
      <c r="D56" s="12" t="s">
        <v>790</v>
      </c>
      <c r="E56" s="12" t="s">
        <v>672</v>
      </c>
      <c r="F56" s="12" t="s">
        <v>14</v>
      </c>
      <c r="G56" s="55" t="s">
        <v>11</v>
      </c>
      <c r="H56" s="1" t="s">
        <v>101</v>
      </c>
      <c r="I56" s="12" t="s">
        <v>112</v>
      </c>
      <c r="J56" s="12" t="s">
        <v>107</v>
      </c>
      <c r="K56" s="12"/>
      <c r="L56" s="65" t="s">
        <v>772</v>
      </c>
      <c r="M56" s="55"/>
      <c r="N56" s="1"/>
      <c r="O56" s="1"/>
      <c r="P56" s="1"/>
      <c r="Q56" s="1"/>
      <c r="R56" s="1"/>
      <c r="S56" s="1"/>
      <c r="T56" s="1"/>
      <c r="U56" s="1"/>
      <c r="V56" s="1" t="s">
        <v>105</v>
      </c>
      <c r="W56" s="1"/>
      <c r="X56" s="1"/>
      <c r="Y56" s="1"/>
      <c r="Z56" s="1" t="s">
        <v>105</v>
      </c>
      <c r="AA56" s="1"/>
      <c r="AB56" s="1"/>
      <c r="AC56" s="1"/>
      <c r="AD56" s="1"/>
      <c r="AE56" s="1"/>
      <c r="AF56" s="1"/>
      <c r="AG56" s="1"/>
      <c r="AH56" s="61"/>
    </row>
    <row r="57" spans="1:35" s="89" customFormat="1" ht="30">
      <c r="A57" s="14"/>
      <c r="B57" s="14" t="s">
        <v>97</v>
      </c>
      <c r="C57" s="14" t="s">
        <v>662</v>
      </c>
      <c r="D57" s="12" t="s">
        <v>791</v>
      </c>
      <c r="E57" s="12" t="s">
        <v>672</v>
      </c>
      <c r="F57" s="12" t="s">
        <v>14</v>
      </c>
      <c r="G57" s="55" t="s">
        <v>11</v>
      </c>
      <c r="H57" s="1" t="s">
        <v>101</v>
      </c>
      <c r="I57" s="12" t="s">
        <v>112</v>
      </c>
      <c r="J57" s="12" t="s">
        <v>107</v>
      </c>
      <c r="K57" s="12"/>
      <c r="L57" s="65" t="s">
        <v>772</v>
      </c>
      <c r="M57" s="55"/>
      <c r="N57" s="1"/>
      <c r="O57" s="1"/>
      <c r="P57" s="1"/>
      <c r="Q57" s="1"/>
      <c r="R57" s="1"/>
      <c r="S57" s="1"/>
      <c r="T57" s="1"/>
      <c r="U57" s="1"/>
      <c r="V57" s="1" t="s">
        <v>105</v>
      </c>
      <c r="W57" s="1"/>
      <c r="X57" s="1"/>
      <c r="Y57" s="1"/>
      <c r="Z57" s="1" t="s">
        <v>105</v>
      </c>
      <c r="AA57" s="1"/>
      <c r="AB57" s="1"/>
      <c r="AC57" s="1"/>
      <c r="AD57" s="1"/>
      <c r="AE57" s="1"/>
      <c r="AF57" s="1"/>
      <c r="AG57" s="1"/>
      <c r="AH57" s="61"/>
    </row>
    <row r="58" spans="1:35" ht="30">
      <c r="A58" s="14"/>
      <c r="B58" s="14" t="s">
        <v>97</v>
      </c>
      <c r="C58" s="14" t="s">
        <v>662</v>
      </c>
      <c r="D58" s="12" t="s">
        <v>792</v>
      </c>
      <c r="E58" s="12" t="s">
        <v>672</v>
      </c>
      <c r="F58" s="12" t="s">
        <v>14</v>
      </c>
      <c r="G58" s="55" t="s">
        <v>11</v>
      </c>
      <c r="H58" s="1" t="s">
        <v>101</v>
      </c>
      <c r="I58" s="12" t="s">
        <v>112</v>
      </c>
      <c r="J58" s="12" t="s">
        <v>107</v>
      </c>
      <c r="K58" s="12"/>
      <c r="L58" s="65" t="s">
        <v>772</v>
      </c>
      <c r="M58" s="55"/>
      <c r="N58" s="1"/>
      <c r="O58" s="1"/>
      <c r="P58" s="1"/>
      <c r="Q58" s="1"/>
      <c r="R58" s="1"/>
      <c r="S58" s="1"/>
      <c r="T58" s="1"/>
      <c r="U58" s="1"/>
      <c r="V58" s="1" t="s">
        <v>105</v>
      </c>
      <c r="W58" s="1"/>
      <c r="X58" s="1"/>
      <c r="Y58" s="1"/>
      <c r="Z58" s="1" t="s">
        <v>105</v>
      </c>
      <c r="AA58" s="1"/>
      <c r="AB58" s="1"/>
      <c r="AC58" s="1"/>
      <c r="AD58" s="1"/>
      <c r="AE58" s="1"/>
      <c r="AF58" s="1"/>
      <c r="AG58" s="1"/>
      <c r="AH58" s="61"/>
    </row>
    <row r="59" spans="1:35" ht="30">
      <c r="A59" s="14"/>
      <c r="B59" s="14" t="s">
        <v>96</v>
      </c>
      <c r="C59" s="14" t="s">
        <v>662</v>
      </c>
      <c r="D59" s="12" t="s">
        <v>793</v>
      </c>
      <c r="E59" s="12" t="s">
        <v>672</v>
      </c>
      <c r="F59" s="12" t="s">
        <v>14</v>
      </c>
      <c r="G59" s="55" t="s">
        <v>11</v>
      </c>
      <c r="H59" s="1" t="s">
        <v>101</v>
      </c>
      <c r="I59" s="12" t="s">
        <v>112</v>
      </c>
      <c r="J59" s="12" t="s">
        <v>107</v>
      </c>
      <c r="K59" s="12"/>
      <c r="L59" s="65" t="s">
        <v>794</v>
      </c>
      <c r="M59" s="55"/>
      <c r="N59" s="1"/>
      <c r="O59" s="1"/>
      <c r="P59" s="1" t="s">
        <v>705</v>
      </c>
      <c r="Q59" s="1"/>
      <c r="R59" s="1"/>
      <c r="S59" s="1" t="s">
        <v>105</v>
      </c>
      <c r="T59" s="1"/>
      <c r="U59" s="1"/>
      <c r="V59" s="1" t="s">
        <v>105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61"/>
    </row>
    <row r="60" spans="1:35" ht="30">
      <c r="A60" s="14"/>
      <c r="B60" s="14" t="s">
        <v>97</v>
      </c>
      <c r="C60" s="14" t="s">
        <v>662</v>
      </c>
      <c r="D60" s="12" t="s">
        <v>795</v>
      </c>
      <c r="E60" s="12" t="s">
        <v>672</v>
      </c>
      <c r="F60" s="12" t="s">
        <v>14</v>
      </c>
      <c r="G60" s="55" t="s">
        <v>11</v>
      </c>
      <c r="H60" s="1" t="s">
        <v>101</v>
      </c>
      <c r="I60" s="12" t="s">
        <v>112</v>
      </c>
      <c r="J60" s="12" t="s">
        <v>107</v>
      </c>
      <c r="K60" s="12"/>
      <c r="L60" s="65" t="s">
        <v>796</v>
      </c>
      <c r="M60" s="55"/>
      <c r="N60" s="1"/>
      <c r="O60" s="1"/>
      <c r="P60" s="1"/>
      <c r="Q60" s="1"/>
      <c r="R60" s="1"/>
      <c r="S60" s="1" t="s">
        <v>105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61"/>
    </row>
    <row r="61" spans="1:35" ht="30">
      <c r="A61" s="14"/>
      <c r="B61" s="14" t="s">
        <v>97</v>
      </c>
      <c r="C61" s="14" t="s">
        <v>662</v>
      </c>
      <c r="D61" s="12" t="s">
        <v>797</v>
      </c>
      <c r="E61" s="12" t="s">
        <v>672</v>
      </c>
      <c r="F61" s="12" t="s">
        <v>14</v>
      </c>
      <c r="G61" s="55" t="s">
        <v>11</v>
      </c>
      <c r="H61" s="1" t="s">
        <v>101</v>
      </c>
      <c r="I61" s="12" t="s">
        <v>112</v>
      </c>
      <c r="J61" s="12" t="s">
        <v>107</v>
      </c>
      <c r="K61" s="12"/>
      <c r="L61" s="65" t="s">
        <v>798</v>
      </c>
      <c r="M61" s="55"/>
      <c r="N61" s="1"/>
      <c r="O61" s="1"/>
      <c r="P61" s="1"/>
      <c r="Q61" s="1"/>
      <c r="R61" s="1"/>
      <c r="S61" s="1"/>
      <c r="T61" s="1"/>
      <c r="U61" s="1"/>
      <c r="V61" s="1" t="s">
        <v>105</v>
      </c>
      <c r="W61" s="1"/>
      <c r="X61" s="1"/>
      <c r="Y61" s="1"/>
      <c r="Z61" s="1" t="s">
        <v>105</v>
      </c>
      <c r="AA61" s="1"/>
      <c r="AB61" s="1"/>
      <c r="AC61" s="1"/>
      <c r="AD61" s="1"/>
      <c r="AE61" s="1"/>
      <c r="AF61" s="1"/>
      <c r="AG61" s="1"/>
      <c r="AH61" s="61"/>
    </row>
    <row r="62" spans="1:35" ht="30">
      <c r="A62" s="14"/>
      <c r="B62" s="14" t="s">
        <v>96</v>
      </c>
      <c r="C62" s="14" t="s">
        <v>662</v>
      </c>
      <c r="D62" s="12" t="s">
        <v>799</v>
      </c>
      <c r="E62" s="12" t="s">
        <v>672</v>
      </c>
      <c r="F62" s="12" t="s">
        <v>14</v>
      </c>
      <c r="G62" s="55" t="s">
        <v>11</v>
      </c>
      <c r="H62" s="1" t="s">
        <v>101</v>
      </c>
      <c r="I62" s="12" t="s">
        <v>112</v>
      </c>
      <c r="J62" s="12" t="s">
        <v>107</v>
      </c>
      <c r="K62" s="12"/>
      <c r="L62" s="65" t="s">
        <v>798</v>
      </c>
      <c r="M62" s="55"/>
      <c r="N62" s="1"/>
      <c r="O62" s="1"/>
      <c r="P62" s="1"/>
      <c r="Q62" s="1"/>
      <c r="R62" s="1"/>
      <c r="S62" s="1" t="s">
        <v>105</v>
      </c>
      <c r="T62" s="1"/>
      <c r="U62" s="1"/>
      <c r="V62" s="1" t="s">
        <v>105</v>
      </c>
      <c r="W62" s="1"/>
      <c r="X62" s="1"/>
      <c r="Y62" s="1"/>
      <c r="Z62" s="1" t="s">
        <v>705</v>
      </c>
      <c r="AA62" s="1"/>
      <c r="AB62" s="1"/>
      <c r="AC62" s="1"/>
      <c r="AD62" s="1"/>
      <c r="AE62" s="1"/>
      <c r="AF62" s="1"/>
      <c r="AG62" s="1"/>
      <c r="AH62" s="61"/>
    </row>
    <row r="63" spans="1:35" ht="30">
      <c r="A63" s="34"/>
      <c r="B63" s="34" t="s">
        <v>97</v>
      </c>
      <c r="C63" s="34" t="s">
        <v>662</v>
      </c>
      <c r="D63" s="13" t="s">
        <v>800</v>
      </c>
      <c r="E63" s="12" t="s">
        <v>672</v>
      </c>
      <c r="F63" s="12" t="s">
        <v>14</v>
      </c>
      <c r="G63" s="55" t="s">
        <v>11</v>
      </c>
      <c r="H63" s="1" t="s">
        <v>101</v>
      </c>
      <c r="I63" s="12" t="s">
        <v>112</v>
      </c>
      <c r="J63" s="12" t="s">
        <v>107</v>
      </c>
      <c r="K63" s="12"/>
      <c r="L63" s="65" t="s">
        <v>801</v>
      </c>
      <c r="M63" s="55"/>
      <c r="N63" s="1"/>
      <c r="O63" s="1"/>
      <c r="P63" s="1" t="s">
        <v>105</v>
      </c>
      <c r="Q63" s="1"/>
      <c r="R63" s="1"/>
      <c r="S63" s="1" t="s">
        <v>239</v>
      </c>
      <c r="T63" s="1"/>
      <c r="U63" s="1"/>
      <c r="V63" s="1" t="s">
        <v>105</v>
      </c>
      <c r="W63" s="1"/>
      <c r="X63" s="1" t="s">
        <v>122</v>
      </c>
      <c r="Y63" s="1"/>
      <c r="Z63" s="1" t="s">
        <v>105</v>
      </c>
      <c r="AA63" s="1"/>
      <c r="AB63" s="1"/>
      <c r="AC63" s="1"/>
      <c r="AD63" s="1"/>
      <c r="AE63" s="1"/>
      <c r="AF63" s="1"/>
      <c r="AG63" s="1"/>
      <c r="AH63" s="61"/>
    </row>
    <row r="64" spans="1:35">
      <c r="A64" s="14"/>
      <c r="B64" s="14" t="s">
        <v>96</v>
      </c>
      <c r="C64" s="14" t="s">
        <v>662</v>
      </c>
      <c r="D64" s="12" t="s">
        <v>802</v>
      </c>
      <c r="E64" s="12" t="s">
        <v>672</v>
      </c>
      <c r="F64" s="12" t="s">
        <v>673</v>
      </c>
      <c r="G64" s="55" t="s">
        <v>14</v>
      </c>
      <c r="H64" s="1" t="s">
        <v>101</v>
      </c>
      <c r="I64" s="1" t="s">
        <v>103</v>
      </c>
      <c r="J64" s="12" t="s">
        <v>107</v>
      </c>
      <c r="K64" s="12"/>
      <c r="L64" s="65" t="s">
        <v>103</v>
      </c>
      <c r="M64" s="55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61"/>
    </row>
    <row r="65" spans="1:34" ht="30">
      <c r="A65" s="14"/>
      <c r="B65" s="14" t="s">
        <v>97</v>
      </c>
      <c r="C65" s="14" t="s">
        <v>662</v>
      </c>
      <c r="D65" s="12" t="s">
        <v>803</v>
      </c>
      <c r="E65" s="12"/>
      <c r="F65" s="12" t="s">
        <v>14</v>
      </c>
      <c r="G65" s="55" t="s">
        <v>11</v>
      </c>
      <c r="H65" s="14" t="s">
        <v>101</v>
      </c>
      <c r="I65" s="12" t="s">
        <v>112</v>
      </c>
      <c r="J65" s="12" t="s">
        <v>107</v>
      </c>
      <c r="K65" s="12"/>
      <c r="L65" s="12" t="s">
        <v>804</v>
      </c>
      <c r="M65" s="55"/>
      <c r="N65" s="1"/>
      <c r="O65" s="1"/>
      <c r="P65" s="1"/>
      <c r="Q65" s="1"/>
      <c r="R65" s="1"/>
      <c r="S65" s="1"/>
      <c r="T65" s="1"/>
      <c r="U65" s="1"/>
      <c r="V65" s="1" t="s">
        <v>105</v>
      </c>
      <c r="W65" s="1"/>
      <c r="X65" s="1"/>
      <c r="Y65" s="1"/>
      <c r="Z65" s="1" t="s">
        <v>105</v>
      </c>
      <c r="AA65" s="1"/>
      <c r="AB65" s="1"/>
      <c r="AC65" s="1"/>
      <c r="AD65" s="1" t="s">
        <v>105</v>
      </c>
      <c r="AE65" s="1"/>
      <c r="AF65" s="1"/>
      <c r="AG65" s="1"/>
      <c r="AH65" s="61"/>
    </row>
    <row r="66" spans="1:34" ht="30">
      <c r="A66" s="14"/>
      <c r="B66" s="14" t="s">
        <v>96</v>
      </c>
      <c r="C66" s="14" t="s">
        <v>662</v>
      </c>
      <c r="D66" s="12" t="s">
        <v>805</v>
      </c>
      <c r="E66" s="12" t="s">
        <v>672</v>
      </c>
      <c r="F66" s="12" t="s">
        <v>14</v>
      </c>
      <c r="G66" s="55" t="s">
        <v>11</v>
      </c>
      <c r="H66" s="1" t="s">
        <v>101</v>
      </c>
      <c r="I66" s="12" t="s">
        <v>112</v>
      </c>
      <c r="J66" s="12" t="s">
        <v>107</v>
      </c>
      <c r="K66" s="12"/>
      <c r="L66" s="65" t="s">
        <v>806</v>
      </c>
      <c r="M66" s="55"/>
      <c r="N66" s="1"/>
      <c r="O66" s="1"/>
      <c r="P66" s="1" t="s">
        <v>105</v>
      </c>
      <c r="Q66" s="1"/>
      <c r="R66" s="1"/>
      <c r="S66" s="14" t="s">
        <v>105</v>
      </c>
      <c r="T66" s="1"/>
      <c r="U66" s="1"/>
      <c r="V66" s="1" t="s">
        <v>105</v>
      </c>
      <c r="W66" s="1"/>
      <c r="X66" s="1"/>
      <c r="Y66" s="1"/>
      <c r="Z66" s="1"/>
      <c r="AA66" s="1"/>
      <c r="AB66" s="1"/>
      <c r="AC66" s="1"/>
      <c r="AD66" s="1" t="s">
        <v>105</v>
      </c>
      <c r="AE66" s="1"/>
      <c r="AF66" s="1"/>
      <c r="AG66" s="1"/>
      <c r="AH66" s="61"/>
    </row>
    <row r="67" spans="1:34" ht="30">
      <c r="A67" s="14"/>
      <c r="B67" s="14" t="s">
        <v>97</v>
      </c>
      <c r="C67" s="14" t="s">
        <v>662</v>
      </c>
      <c r="D67" s="12" t="s">
        <v>807</v>
      </c>
      <c r="E67" s="13" t="s">
        <v>672</v>
      </c>
      <c r="F67" s="12" t="s">
        <v>14</v>
      </c>
      <c r="G67" s="55" t="s">
        <v>11</v>
      </c>
      <c r="H67" s="1" t="s">
        <v>101</v>
      </c>
      <c r="I67" s="12" t="s">
        <v>112</v>
      </c>
      <c r="J67" s="12" t="s">
        <v>107</v>
      </c>
      <c r="K67" s="12"/>
      <c r="L67" s="12" t="s">
        <v>81</v>
      </c>
      <c r="M67" s="55"/>
      <c r="N67" s="55"/>
      <c r="O67" s="55"/>
      <c r="P67" s="55"/>
      <c r="Q67" s="55"/>
      <c r="R67" s="14"/>
      <c r="S67" s="14"/>
      <c r="T67" s="14"/>
      <c r="U67" s="14"/>
      <c r="V67" s="14" t="s">
        <v>105</v>
      </c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61"/>
    </row>
    <row r="68" spans="1:34" ht="30">
      <c r="A68" s="14"/>
      <c r="B68" s="14" t="s">
        <v>97</v>
      </c>
      <c r="C68" s="14" t="s">
        <v>662</v>
      </c>
      <c r="D68" s="12" t="s">
        <v>808</v>
      </c>
      <c r="E68" s="13" t="s">
        <v>672</v>
      </c>
      <c r="F68" s="12" t="s">
        <v>14</v>
      </c>
      <c r="G68" s="55" t="s">
        <v>11</v>
      </c>
      <c r="H68" s="1" t="s">
        <v>101</v>
      </c>
      <c r="I68" s="12" t="s">
        <v>112</v>
      </c>
      <c r="J68" s="12" t="s">
        <v>107</v>
      </c>
      <c r="K68" s="12"/>
      <c r="L68" s="12" t="s">
        <v>809</v>
      </c>
      <c r="M68" s="55"/>
      <c r="N68" s="55"/>
      <c r="O68" s="55"/>
      <c r="P68" s="55"/>
      <c r="Q68" s="55"/>
      <c r="R68" s="14"/>
      <c r="S68" s="14" t="s">
        <v>105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61"/>
    </row>
    <row r="69" spans="1:34" ht="30">
      <c r="A69" s="14"/>
      <c r="B69" s="14" t="s">
        <v>97</v>
      </c>
      <c r="C69" s="14" t="s">
        <v>662</v>
      </c>
      <c r="D69" s="12" t="s">
        <v>810</v>
      </c>
      <c r="E69" s="12" t="s">
        <v>684</v>
      </c>
      <c r="F69" s="12" t="s">
        <v>14</v>
      </c>
      <c r="G69" s="55" t="s">
        <v>11</v>
      </c>
      <c r="H69" s="1" t="s">
        <v>101</v>
      </c>
      <c r="I69" s="12" t="s">
        <v>112</v>
      </c>
      <c r="J69" s="12" t="s">
        <v>107</v>
      </c>
      <c r="K69" s="12"/>
      <c r="L69" s="65" t="s">
        <v>811</v>
      </c>
      <c r="M69" s="55" t="s">
        <v>105</v>
      </c>
      <c r="N69" s="1"/>
      <c r="O69" s="1"/>
      <c r="P69" s="1"/>
      <c r="Q69" s="1"/>
      <c r="R69" s="1"/>
      <c r="S69" s="1" t="s">
        <v>105</v>
      </c>
      <c r="T69" s="1" t="s">
        <v>105</v>
      </c>
      <c r="U69" s="1"/>
      <c r="V69" s="1" t="s">
        <v>105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61"/>
    </row>
    <row r="70" spans="1:34" ht="30">
      <c r="A70" s="14"/>
      <c r="B70" s="14" t="s">
        <v>97</v>
      </c>
      <c r="C70" s="14" t="s">
        <v>662</v>
      </c>
      <c r="D70" s="12" t="s">
        <v>812</v>
      </c>
      <c r="E70" s="12" t="s">
        <v>684</v>
      </c>
      <c r="F70" s="12" t="s">
        <v>14</v>
      </c>
      <c r="G70" s="55" t="s">
        <v>11</v>
      </c>
      <c r="H70" s="1" t="s">
        <v>101</v>
      </c>
      <c r="I70" s="12" t="s">
        <v>112</v>
      </c>
      <c r="J70" s="12" t="s">
        <v>107</v>
      </c>
      <c r="K70" s="12"/>
      <c r="L70" s="65" t="s">
        <v>813</v>
      </c>
      <c r="M70" s="55"/>
      <c r="N70" s="1"/>
      <c r="O70" s="1"/>
      <c r="P70" s="1"/>
      <c r="Q70" s="1"/>
      <c r="R70" s="1"/>
      <c r="S70" s="1" t="s">
        <v>122</v>
      </c>
      <c r="T70" s="1" t="s">
        <v>122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61"/>
    </row>
    <row r="71" spans="1:34" ht="30">
      <c r="A71" s="14"/>
      <c r="B71" s="14" t="s">
        <v>97</v>
      </c>
      <c r="C71" s="14" t="s">
        <v>662</v>
      </c>
      <c r="D71" s="12" t="s">
        <v>814</v>
      </c>
      <c r="E71" s="12" t="s">
        <v>684</v>
      </c>
      <c r="F71" s="12" t="s">
        <v>14</v>
      </c>
      <c r="G71" s="55" t="s">
        <v>11</v>
      </c>
      <c r="H71" s="1" t="s">
        <v>101</v>
      </c>
      <c r="I71" s="12" t="s">
        <v>112</v>
      </c>
      <c r="J71" s="12" t="s">
        <v>107</v>
      </c>
      <c r="K71" s="12"/>
      <c r="L71" s="12" t="s">
        <v>815</v>
      </c>
      <c r="M71" s="55"/>
      <c r="N71" s="14"/>
      <c r="O71" s="1"/>
      <c r="P71" s="14"/>
      <c r="Q71" s="14"/>
      <c r="R71" s="1"/>
      <c r="S71" s="1"/>
      <c r="T71" s="1"/>
      <c r="U71" s="1"/>
      <c r="V71" s="1"/>
      <c r="W71" s="1"/>
      <c r="X71" s="1" t="s">
        <v>105</v>
      </c>
      <c r="Y71" s="1"/>
      <c r="Z71" s="1" t="s">
        <v>105</v>
      </c>
      <c r="AA71" s="1"/>
      <c r="AB71" s="1"/>
      <c r="AC71" s="1"/>
      <c r="AD71" s="1"/>
      <c r="AE71" s="1"/>
      <c r="AF71" s="1"/>
      <c r="AG71" s="1"/>
      <c r="AH71" s="61" t="s">
        <v>816</v>
      </c>
    </row>
    <row r="72" spans="1:34">
      <c r="A72" s="14"/>
      <c r="B72" s="14" t="s">
        <v>97</v>
      </c>
      <c r="C72" s="14" t="s">
        <v>662</v>
      </c>
      <c r="D72" s="12" t="s">
        <v>817</v>
      </c>
      <c r="E72" s="12" t="s">
        <v>684</v>
      </c>
      <c r="F72" s="12" t="s">
        <v>673</v>
      </c>
      <c r="G72" s="55" t="s">
        <v>14</v>
      </c>
      <c r="H72" s="1" t="s">
        <v>101</v>
      </c>
      <c r="I72" s="12" t="s">
        <v>103</v>
      </c>
      <c r="J72" s="12" t="s">
        <v>107</v>
      </c>
      <c r="K72" s="12"/>
      <c r="L72" s="65" t="s">
        <v>676</v>
      </c>
      <c r="M72" s="55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61"/>
    </row>
    <row r="73" spans="1:34" ht="30">
      <c r="A73" s="14"/>
      <c r="B73" s="14" t="s">
        <v>97</v>
      </c>
      <c r="C73" s="14" t="s">
        <v>662</v>
      </c>
      <c r="D73" s="12" t="s">
        <v>818</v>
      </c>
      <c r="E73" s="12" t="s">
        <v>684</v>
      </c>
      <c r="F73" s="12" t="s">
        <v>14</v>
      </c>
      <c r="G73" s="55" t="s">
        <v>11</v>
      </c>
      <c r="H73" s="1" t="s">
        <v>101</v>
      </c>
      <c r="I73" s="12" t="s">
        <v>112</v>
      </c>
      <c r="J73" s="12" t="s">
        <v>107</v>
      </c>
      <c r="K73" s="12"/>
      <c r="L73" s="12" t="s">
        <v>819</v>
      </c>
      <c r="M73" s="55"/>
      <c r="N73" s="1"/>
      <c r="O73" s="1"/>
      <c r="P73" s="1"/>
      <c r="Q73" s="1"/>
      <c r="R73" s="1"/>
      <c r="S73" s="1"/>
      <c r="T73" s="1"/>
      <c r="U73" s="1"/>
      <c r="V73" s="1"/>
      <c r="W73" s="1"/>
      <c r="X73" s="1" t="s">
        <v>105</v>
      </c>
      <c r="Y73" s="1"/>
      <c r="Z73" s="1" t="s">
        <v>105</v>
      </c>
      <c r="AA73" s="1"/>
      <c r="AB73" s="1"/>
      <c r="AC73" s="1"/>
      <c r="AD73" s="1"/>
      <c r="AE73" s="1"/>
      <c r="AF73" s="1"/>
      <c r="AG73" s="1"/>
      <c r="AH73" s="61" t="s">
        <v>816</v>
      </c>
    </row>
    <row r="74" spans="1:34" ht="30">
      <c r="A74" s="14"/>
      <c r="B74" s="14" t="s">
        <v>97</v>
      </c>
      <c r="C74" s="14" t="s">
        <v>662</v>
      </c>
      <c r="D74" s="12" t="s">
        <v>820</v>
      </c>
      <c r="E74" s="12" t="s">
        <v>684</v>
      </c>
      <c r="F74" s="12" t="s">
        <v>14</v>
      </c>
      <c r="G74" s="55" t="s">
        <v>11</v>
      </c>
      <c r="H74" s="1" t="s">
        <v>101</v>
      </c>
      <c r="I74" s="12" t="s">
        <v>112</v>
      </c>
      <c r="J74" s="12" t="s">
        <v>107</v>
      </c>
      <c r="K74" s="12"/>
      <c r="L74" s="12" t="s">
        <v>821</v>
      </c>
      <c r="M74" s="55" t="s">
        <v>105</v>
      </c>
      <c r="N74" s="1"/>
      <c r="O74" s="1"/>
      <c r="P74" s="1"/>
      <c r="Q74" s="1"/>
      <c r="R74" s="1"/>
      <c r="S74" s="1" t="s">
        <v>122</v>
      </c>
      <c r="T74" s="1" t="s">
        <v>122</v>
      </c>
      <c r="U74" s="1"/>
      <c r="V74" s="1"/>
      <c r="W74" s="1"/>
      <c r="X74" s="1" t="s">
        <v>105</v>
      </c>
      <c r="Y74" s="1"/>
      <c r="Z74" s="1" t="s">
        <v>105</v>
      </c>
      <c r="AA74" s="1"/>
      <c r="AB74" s="1"/>
      <c r="AC74" s="1"/>
      <c r="AD74" s="1"/>
      <c r="AE74" s="1"/>
      <c r="AF74" s="1"/>
      <c r="AG74" s="1"/>
      <c r="AH74" s="61" t="s">
        <v>816</v>
      </c>
    </row>
    <row r="75" spans="1:34" ht="30">
      <c r="A75" s="14"/>
      <c r="B75" s="14" t="s">
        <v>97</v>
      </c>
      <c r="C75" s="14" t="s">
        <v>662</v>
      </c>
      <c r="D75" s="12" t="s">
        <v>822</v>
      </c>
      <c r="E75" s="12" t="s">
        <v>684</v>
      </c>
      <c r="F75" s="12" t="s">
        <v>14</v>
      </c>
      <c r="G75" s="55" t="s">
        <v>11</v>
      </c>
      <c r="H75" s="1" t="s">
        <v>101</v>
      </c>
      <c r="I75" s="12" t="s">
        <v>112</v>
      </c>
      <c r="J75" s="12" t="s">
        <v>107</v>
      </c>
      <c r="K75" s="12"/>
      <c r="L75" s="12" t="s">
        <v>821</v>
      </c>
      <c r="M75" s="55" t="s">
        <v>105</v>
      </c>
      <c r="N75" s="1"/>
      <c r="O75" s="1"/>
      <c r="P75" s="1"/>
      <c r="Q75" s="1"/>
      <c r="R75" s="1"/>
      <c r="S75" s="1" t="s">
        <v>122</v>
      </c>
      <c r="T75" s="1" t="s">
        <v>122</v>
      </c>
      <c r="U75" s="1"/>
      <c r="V75" s="1"/>
      <c r="W75" s="1"/>
      <c r="X75" s="1" t="s">
        <v>105</v>
      </c>
      <c r="Y75" s="1"/>
      <c r="Z75" s="1" t="s">
        <v>105</v>
      </c>
      <c r="AA75" s="1"/>
      <c r="AB75" s="1"/>
      <c r="AC75" s="1"/>
      <c r="AD75" s="1"/>
      <c r="AE75" s="1"/>
      <c r="AF75" s="1"/>
      <c r="AG75" s="1"/>
      <c r="AH75" s="61" t="s">
        <v>816</v>
      </c>
    </row>
    <row r="76" spans="1:34" ht="30">
      <c r="A76" s="14"/>
      <c r="B76" s="14" t="s">
        <v>97</v>
      </c>
      <c r="C76" s="14" t="s">
        <v>662</v>
      </c>
      <c r="D76" s="12" t="s">
        <v>823</v>
      </c>
      <c r="E76" s="12" t="s">
        <v>684</v>
      </c>
      <c r="F76" s="12" t="s">
        <v>14</v>
      </c>
      <c r="G76" s="55" t="s">
        <v>11</v>
      </c>
      <c r="H76" s="1" t="s">
        <v>101</v>
      </c>
      <c r="I76" s="12" t="s">
        <v>112</v>
      </c>
      <c r="J76" s="12" t="s">
        <v>107</v>
      </c>
      <c r="K76" s="12"/>
      <c r="L76" s="65" t="s">
        <v>362</v>
      </c>
      <c r="M76" s="55"/>
      <c r="N76" s="1"/>
      <c r="O76" s="1"/>
      <c r="P76" s="1"/>
      <c r="Q76" s="1"/>
      <c r="R76" s="1"/>
      <c r="S76" s="1" t="s">
        <v>105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61"/>
    </row>
    <row r="77" spans="1:34" ht="30">
      <c r="A77" s="14"/>
      <c r="B77" s="14" t="s">
        <v>97</v>
      </c>
      <c r="C77" s="14" t="s">
        <v>662</v>
      </c>
      <c r="D77" s="12" t="s">
        <v>824</v>
      </c>
      <c r="E77" s="12" t="s">
        <v>684</v>
      </c>
      <c r="F77" s="12" t="s">
        <v>14</v>
      </c>
      <c r="G77" s="55" t="s">
        <v>11</v>
      </c>
      <c r="H77" s="1" t="s">
        <v>101</v>
      </c>
      <c r="I77" s="12" t="s">
        <v>112</v>
      </c>
      <c r="J77" s="12" t="s">
        <v>107</v>
      </c>
      <c r="K77" s="12"/>
      <c r="L77" s="65" t="s">
        <v>825</v>
      </c>
      <c r="M77" s="55" t="s">
        <v>105</v>
      </c>
      <c r="N77" s="1"/>
      <c r="O77" s="1"/>
      <c r="P77" s="1"/>
      <c r="Q77" s="1"/>
      <c r="R77" s="1"/>
      <c r="S77" s="1" t="s">
        <v>105</v>
      </c>
      <c r="T77" s="1" t="s">
        <v>105</v>
      </c>
      <c r="U77" s="1"/>
      <c r="V77" s="1" t="s">
        <v>105</v>
      </c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61"/>
    </row>
    <row r="78" spans="1:34" ht="30">
      <c r="A78" s="14"/>
      <c r="B78" s="14" t="s">
        <v>97</v>
      </c>
      <c r="C78" s="14" t="s">
        <v>662</v>
      </c>
      <c r="D78" s="12" t="s">
        <v>826</v>
      </c>
      <c r="E78" s="12" t="s">
        <v>684</v>
      </c>
      <c r="F78" s="12" t="s">
        <v>14</v>
      </c>
      <c r="G78" s="55" t="s">
        <v>11</v>
      </c>
      <c r="H78" s="1" t="s">
        <v>101</v>
      </c>
      <c r="I78" s="12" t="s">
        <v>112</v>
      </c>
      <c r="J78" s="12" t="s">
        <v>107</v>
      </c>
      <c r="K78" s="12"/>
      <c r="L78" s="65" t="s">
        <v>827</v>
      </c>
      <c r="M78" s="55"/>
      <c r="N78" s="1"/>
      <c r="O78" s="1" t="s">
        <v>105</v>
      </c>
      <c r="P78" s="1" t="s">
        <v>105</v>
      </c>
      <c r="Q78" s="1"/>
      <c r="R78" s="1"/>
      <c r="S78" s="1"/>
      <c r="T78" s="1" t="s">
        <v>105</v>
      </c>
      <c r="U78" s="1"/>
      <c r="V78" s="1" t="s">
        <v>105</v>
      </c>
      <c r="W78" s="1"/>
      <c r="X78" s="1" t="s">
        <v>105</v>
      </c>
      <c r="Y78" s="1"/>
      <c r="Z78" s="1"/>
      <c r="AA78" s="1"/>
      <c r="AB78" s="1"/>
      <c r="AC78" s="1"/>
      <c r="AD78" s="1" t="s">
        <v>105</v>
      </c>
      <c r="AE78" s="1"/>
      <c r="AF78" s="1"/>
      <c r="AG78" s="1"/>
      <c r="AH78" s="61"/>
    </row>
    <row r="79" spans="1:34" ht="30">
      <c r="A79" s="14"/>
      <c r="B79" s="14" t="s">
        <v>97</v>
      </c>
      <c r="C79" s="14" t="s">
        <v>662</v>
      </c>
      <c r="D79" s="12" t="s">
        <v>828</v>
      </c>
      <c r="E79" s="12" t="s">
        <v>684</v>
      </c>
      <c r="F79" s="12" t="s">
        <v>14</v>
      </c>
      <c r="G79" s="55" t="s">
        <v>11</v>
      </c>
      <c r="H79" s="1" t="s">
        <v>101</v>
      </c>
      <c r="I79" s="12" t="s">
        <v>112</v>
      </c>
      <c r="J79" s="12" t="s">
        <v>107</v>
      </c>
      <c r="K79" s="12"/>
      <c r="L79" s="12" t="s">
        <v>829</v>
      </c>
      <c r="M79" s="55" t="s">
        <v>105</v>
      </c>
      <c r="N79" s="1"/>
      <c r="O79" s="1"/>
      <c r="P79" s="1"/>
      <c r="Q79" s="1"/>
      <c r="R79" s="1"/>
      <c r="S79" s="1" t="s">
        <v>122</v>
      </c>
      <c r="T79" s="1" t="s">
        <v>122</v>
      </c>
      <c r="U79" s="1"/>
      <c r="V79" s="1"/>
      <c r="W79" s="1"/>
      <c r="X79" s="1" t="s">
        <v>105</v>
      </c>
      <c r="Y79" s="1"/>
      <c r="Z79" s="1" t="s">
        <v>105</v>
      </c>
      <c r="AA79" s="1"/>
      <c r="AB79" s="1"/>
      <c r="AC79" s="1"/>
      <c r="AD79" s="1"/>
      <c r="AE79" s="1"/>
      <c r="AF79" s="1"/>
      <c r="AG79" s="1"/>
      <c r="AH79" s="61" t="s">
        <v>816</v>
      </c>
    </row>
    <row r="80" spans="1:34">
      <c r="A80" s="14"/>
      <c r="B80" s="14" t="s">
        <v>97</v>
      </c>
      <c r="C80" s="14" t="s">
        <v>662</v>
      </c>
      <c r="D80" s="12" t="s">
        <v>830</v>
      </c>
      <c r="E80" s="12" t="s">
        <v>684</v>
      </c>
      <c r="F80" s="12" t="s">
        <v>673</v>
      </c>
      <c r="G80" s="55" t="s">
        <v>14</v>
      </c>
      <c r="H80" s="1" t="s">
        <v>101</v>
      </c>
      <c r="I80" s="1" t="s">
        <v>103</v>
      </c>
      <c r="J80" s="1" t="s">
        <v>103</v>
      </c>
      <c r="K80" s="12"/>
      <c r="L80" s="65" t="s">
        <v>831</v>
      </c>
      <c r="M80" s="55"/>
      <c r="N80" s="55"/>
      <c r="O80" s="55"/>
      <c r="P80" s="55"/>
      <c r="Q80" s="55"/>
      <c r="R80" s="14"/>
      <c r="S80" s="14" t="s">
        <v>122</v>
      </c>
      <c r="T80" s="14" t="s">
        <v>122</v>
      </c>
      <c r="U80" s="14"/>
      <c r="V80" s="14" t="s">
        <v>122</v>
      </c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61"/>
    </row>
    <row r="81" spans="1:35" ht="30">
      <c r="A81" s="14"/>
      <c r="B81" s="14" t="s">
        <v>97</v>
      </c>
      <c r="C81" s="14" t="s">
        <v>662</v>
      </c>
      <c r="D81" s="12" t="s">
        <v>832</v>
      </c>
      <c r="E81" s="12" t="s">
        <v>684</v>
      </c>
      <c r="F81" s="12" t="s">
        <v>14</v>
      </c>
      <c r="G81" s="55" t="s">
        <v>11</v>
      </c>
      <c r="H81" s="1" t="s">
        <v>101</v>
      </c>
      <c r="I81" s="12" t="s">
        <v>112</v>
      </c>
      <c r="J81" s="12" t="s">
        <v>107</v>
      </c>
      <c r="K81" s="12"/>
      <c r="L81" s="12" t="s">
        <v>829</v>
      </c>
      <c r="M81" s="55" t="s">
        <v>105</v>
      </c>
      <c r="N81" s="1"/>
      <c r="O81" s="1"/>
      <c r="P81" s="1"/>
      <c r="Q81" s="1"/>
      <c r="R81" s="1"/>
      <c r="S81" s="1" t="s">
        <v>122</v>
      </c>
      <c r="T81" s="1" t="s">
        <v>122</v>
      </c>
      <c r="U81" s="1"/>
      <c r="V81" s="1"/>
      <c r="W81" s="1"/>
      <c r="X81" s="1" t="s">
        <v>105</v>
      </c>
      <c r="Y81" s="1"/>
      <c r="Z81" s="1" t="s">
        <v>105</v>
      </c>
      <c r="AA81" s="1"/>
      <c r="AB81" s="1"/>
      <c r="AC81" s="1"/>
      <c r="AD81" s="1"/>
      <c r="AE81" s="1"/>
      <c r="AF81" s="1"/>
      <c r="AG81" s="1"/>
      <c r="AH81" s="61" t="s">
        <v>816</v>
      </c>
    </row>
    <row r="82" spans="1:35" ht="30">
      <c r="A82" s="126"/>
      <c r="B82" s="126" t="s">
        <v>97</v>
      </c>
      <c r="C82" s="126" t="s">
        <v>662</v>
      </c>
      <c r="D82" s="33" t="s">
        <v>833</v>
      </c>
      <c r="E82" s="33" t="s">
        <v>672</v>
      </c>
      <c r="F82" s="27" t="s">
        <v>14</v>
      </c>
      <c r="G82" s="76" t="s">
        <v>11</v>
      </c>
      <c r="H82" s="28" t="s">
        <v>101</v>
      </c>
      <c r="I82" s="27" t="s">
        <v>112</v>
      </c>
      <c r="J82" s="27" t="s">
        <v>107</v>
      </c>
      <c r="K82" s="27"/>
      <c r="L82" s="27" t="s">
        <v>834</v>
      </c>
      <c r="M82" s="76" t="s">
        <v>105</v>
      </c>
      <c r="N82" s="76"/>
      <c r="O82" s="76" t="s">
        <v>105</v>
      </c>
      <c r="P82" s="76" t="s">
        <v>105</v>
      </c>
      <c r="Q82" s="76"/>
      <c r="R82" s="122"/>
      <c r="S82" s="122" t="s">
        <v>105</v>
      </c>
      <c r="T82" s="122" t="s">
        <v>105</v>
      </c>
      <c r="U82" s="122"/>
      <c r="V82" s="122" t="s">
        <v>105</v>
      </c>
      <c r="W82" s="122"/>
      <c r="X82" s="122"/>
      <c r="Y82" s="122"/>
      <c r="Z82" s="122" t="s">
        <v>105</v>
      </c>
      <c r="AA82" s="122"/>
      <c r="AB82" s="122"/>
      <c r="AC82" s="122"/>
      <c r="AD82" s="122" t="s">
        <v>105</v>
      </c>
      <c r="AE82" s="122"/>
      <c r="AF82" s="122"/>
      <c r="AG82" s="122"/>
      <c r="AH82" s="60"/>
    </row>
    <row r="83" spans="1:35">
      <c r="A83" s="14" t="s">
        <v>96</v>
      </c>
      <c r="B83" s="127" t="s">
        <v>97</v>
      </c>
      <c r="C83" s="127" t="s">
        <v>662</v>
      </c>
      <c r="D83" s="129" t="s">
        <v>835</v>
      </c>
      <c r="E83" s="12"/>
      <c r="F83" s="55"/>
      <c r="G83" s="55"/>
      <c r="H83" s="14"/>
      <c r="I83" s="12"/>
      <c r="J83" s="12"/>
      <c r="K83" s="12"/>
      <c r="L83" s="12"/>
      <c r="M83" s="55"/>
      <c r="N83" s="55"/>
      <c r="O83" s="55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"/>
      <c r="AH83" s="61"/>
    </row>
    <row r="84" spans="1:35">
      <c r="A84" s="14" t="s">
        <v>96</v>
      </c>
      <c r="B84" s="127" t="s">
        <v>97</v>
      </c>
      <c r="C84" s="127" t="s">
        <v>662</v>
      </c>
      <c r="D84" s="129" t="s">
        <v>836</v>
      </c>
      <c r="E84" s="12"/>
      <c r="F84" s="55"/>
      <c r="G84" s="55"/>
      <c r="H84" s="14"/>
      <c r="I84" s="12"/>
      <c r="J84" s="12"/>
      <c r="K84" s="12"/>
      <c r="L84" s="12"/>
      <c r="M84" s="55"/>
      <c r="N84" s="55"/>
      <c r="O84" s="55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"/>
      <c r="AH84" s="61"/>
    </row>
    <row r="85" spans="1:35">
      <c r="A85" s="14" t="s">
        <v>96</v>
      </c>
      <c r="B85" s="127" t="s">
        <v>97</v>
      </c>
      <c r="C85" s="127" t="s">
        <v>662</v>
      </c>
      <c r="D85" s="129" t="s">
        <v>783</v>
      </c>
      <c r="E85" s="12"/>
      <c r="F85" s="55"/>
      <c r="G85" s="55"/>
      <c r="H85" s="14"/>
      <c r="I85" s="12"/>
      <c r="J85" s="12"/>
      <c r="K85" s="12"/>
      <c r="L85" s="12"/>
      <c r="M85" s="55"/>
      <c r="N85" s="55"/>
      <c r="O85" s="55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"/>
      <c r="AH85" s="61"/>
    </row>
    <row r="86" spans="1:35">
      <c r="A86" s="122" t="s">
        <v>96</v>
      </c>
      <c r="B86" s="128" t="s">
        <v>97</v>
      </c>
      <c r="C86" s="128" t="s">
        <v>662</v>
      </c>
      <c r="D86" s="130" t="s">
        <v>837</v>
      </c>
      <c r="E86" s="27"/>
      <c r="F86" s="76"/>
      <c r="G86" s="76"/>
      <c r="H86" s="122"/>
      <c r="I86" s="27"/>
      <c r="J86" s="27"/>
      <c r="K86" s="27"/>
      <c r="L86" s="27"/>
      <c r="M86" s="76"/>
      <c r="N86" s="76"/>
      <c r="O86" s="76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28"/>
      <c r="AH86" s="60"/>
    </row>
    <row r="89" spans="1:35">
      <c r="D89" s="131" t="s">
        <v>838</v>
      </c>
    </row>
    <row r="91" spans="1:35">
      <c r="D91" s="89" t="s">
        <v>839</v>
      </c>
    </row>
    <row r="93" spans="1:35">
      <c r="D93" s="169" t="s">
        <v>842</v>
      </c>
    </row>
    <row r="94" spans="1:35" s="106" customFormat="1">
      <c r="A94" s="88"/>
      <c r="B94" s="88"/>
      <c r="C94" s="88"/>
      <c r="D94" s="89" t="s">
        <v>662</v>
      </c>
      <c r="H94" s="88"/>
      <c r="I94" s="89"/>
      <c r="J94" s="89"/>
      <c r="L94" s="89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93"/>
      <c r="AH94" s="9"/>
      <c r="AI94" s="9"/>
    </row>
    <row r="95" spans="1:35">
      <c r="D95" s="89" t="s">
        <v>851</v>
      </c>
    </row>
    <row r="96" spans="1:35" s="106" customFormat="1">
      <c r="A96" s="88"/>
      <c r="B96" s="88"/>
      <c r="C96" s="88"/>
      <c r="D96" s="89" t="s">
        <v>856</v>
      </c>
      <c r="H96" s="88"/>
      <c r="I96" s="89"/>
      <c r="J96" s="89"/>
      <c r="L96" s="89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93"/>
      <c r="AH96" s="9"/>
      <c r="AI96" s="9"/>
    </row>
    <row r="97" spans="1:35">
      <c r="D97" s="89" t="s">
        <v>741</v>
      </c>
    </row>
    <row r="98" spans="1:35" s="106" customFormat="1">
      <c r="A98" s="88"/>
      <c r="B98" s="88"/>
      <c r="C98" s="88"/>
      <c r="D98" s="89" t="s">
        <v>864</v>
      </c>
      <c r="H98" s="88"/>
      <c r="I98" s="89"/>
      <c r="J98" s="89"/>
      <c r="L98" s="89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93"/>
      <c r="AH98" s="9"/>
      <c r="AI98" s="9"/>
    </row>
    <row r="99" spans="1:35" s="106" customFormat="1">
      <c r="A99" s="88"/>
      <c r="B99" s="88"/>
      <c r="C99" s="88"/>
      <c r="D99" s="89" t="s">
        <v>702</v>
      </c>
      <c r="H99" s="88"/>
      <c r="I99" s="89"/>
      <c r="J99" s="89"/>
      <c r="L99" s="89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93"/>
      <c r="AH99" s="9"/>
      <c r="AI99" s="9"/>
    </row>
    <row r="100" spans="1:35" s="106" customFormat="1">
      <c r="A100" s="88"/>
      <c r="B100" s="88"/>
      <c r="C100" s="88"/>
      <c r="D100" s="89" t="s">
        <v>147</v>
      </c>
      <c r="H100" s="88"/>
      <c r="I100" s="89"/>
      <c r="J100" s="89"/>
      <c r="L100" s="89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93"/>
      <c r="AH100" s="9"/>
      <c r="AI100" s="9"/>
    </row>
    <row r="101" spans="1:35" s="106" customFormat="1">
      <c r="A101" s="88"/>
      <c r="B101" s="88"/>
      <c r="C101" s="88"/>
      <c r="D101" s="89" t="s">
        <v>728</v>
      </c>
      <c r="H101" s="88"/>
      <c r="I101" s="89"/>
      <c r="J101" s="89"/>
      <c r="L101" s="89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93"/>
      <c r="AH101" s="9"/>
      <c r="AI101" s="9"/>
    </row>
    <row r="102" spans="1:35" s="106" customFormat="1">
      <c r="A102" s="88"/>
      <c r="B102" s="88"/>
      <c r="C102" s="88"/>
      <c r="D102" s="89" t="s">
        <v>873</v>
      </c>
      <c r="H102" s="88"/>
      <c r="I102" s="89"/>
      <c r="J102" s="89"/>
      <c r="L102" s="89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93"/>
      <c r="AH102" s="9"/>
      <c r="AI102" s="9"/>
    </row>
    <row r="103" spans="1:35" s="106" customFormat="1">
      <c r="A103" s="88"/>
      <c r="B103" s="88"/>
      <c r="C103" s="88"/>
      <c r="D103" s="89" t="s">
        <v>876</v>
      </c>
      <c r="H103" s="88"/>
      <c r="I103" s="89"/>
      <c r="J103" s="89"/>
      <c r="L103" s="89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93"/>
      <c r="AH103" s="9"/>
      <c r="AI103" s="9"/>
    </row>
    <row r="104" spans="1:35" s="106" customFormat="1">
      <c r="A104" s="88"/>
      <c r="B104" s="88"/>
      <c r="C104" s="88"/>
      <c r="D104" s="89"/>
      <c r="H104" s="88"/>
      <c r="I104" s="89"/>
      <c r="J104" s="89"/>
      <c r="L104" s="89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93"/>
      <c r="AH104" s="9"/>
      <c r="AI104" s="9"/>
    </row>
    <row r="105" spans="1:35" s="106" customFormat="1">
      <c r="A105" s="88"/>
      <c r="B105" s="88"/>
      <c r="C105" s="88"/>
      <c r="D105" s="89" t="s">
        <v>881</v>
      </c>
      <c r="H105" s="88"/>
      <c r="I105" s="89"/>
      <c r="J105" s="89"/>
      <c r="L105" s="89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93"/>
      <c r="AH105" s="9"/>
      <c r="AI105" s="9"/>
    </row>
    <row r="106" spans="1:35" s="106" customFormat="1">
      <c r="A106" s="88"/>
      <c r="B106" s="88"/>
      <c r="C106" s="88"/>
      <c r="D106" s="89" t="s">
        <v>884</v>
      </c>
      <c r="H106" s="88"/>
      <c r="I106" s="89"/>
      <c r="J106" s="89"/>
      <c r="L106" s="89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93"/>
      <c r="AH106" s="9"/>
      <c r="AI106" s="9"/>
    </row>
    <row r="107" spans="1:35" s="106" customFormat="1">
      <c r="A107" s="88"/>
      <c r="B107" s="88"/>
      <c r="C107" s="88"/>
      <c r="D107" s="89" t="s">
        <v>887</v>
      </c>
      <c r="H107" s="88"/>
      <c r="I107" s="89"/>
      <c r="J107" s="89"/>
      <c r="L107" s="89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93"/>
      <c r="AH107" s="9"/>
      <c r="AI107" s="9"/>
    </row>
    <row r="108" spans="1:35" s="106" customFormat="1">
      <c r="A108" s="88"/>
      <c r="B108" s="88"/>
      <c r="C108" s="88"/>
      <c r="D108" s="89" t="s">
        <v>849</v>
      </c>
      <c r="H108" s="88"/>
      <c r="I108" s="89"/>
      <c r="J108" s="89"/>
      <c r="L108" s="89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93"/>
      <c r="AH108" s="9"/>
      <c r="AI108" s="9"/>
    </row>
    <row r="110" spans="1:35" s="106" customFormat="1">
      <c r="A110" s="88"/>
      <c r="B110" s="88"/>
      <c r="C110" s="88"/>
      <c r="D110" s="89"/>
      <c r="H110" s="88"/>
      <c r="I110" s="89"/>
      <c r="J110" s="89"/>
      <c r="L110" s="89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93"/>
      <c r="AH110" s="9"/>
      <c r="AI110" s="9"/>
    </row>
    <row r="111" spans="1:35" s="106" customFormat="1">
      <c r="A111" s="88"/>
      <c r="B111" s="88"/>
      <c r="C111" s="88"/>
      <c r="D111" s="89"/>
      <c r="H111" s="88"/>
      <c r="I111" s="89"/>
      <c r="J111" s="89"/>
      <c r="L111" s="89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93"/>
      <c r="AH111" s="9"/>
      <c r="AI111" s="9"/>
    </row>
    <row r="112" spans="1:35" s="106" customFormat="1" ht="45">
      <c r="A112" s="219"/>
      <c r="B112" s="205" t="s">
        <v>97</v>
      </c>
      <c r="C112" s="205" t="s">
        <v>666</v>
      </c>
      <c r="D112" s="203" t="s">
        <v>667</v>
      </c>
      <c r="E112" s="203" t="s">
        <v>668</v>
      </c>
      <c r="F112" s="203" t="s">
        <v>14</v>
      </c>
      <c r="G112" s="204" t="s">
        <v>11</v>
      </c>
      <c r="H112" s="167" t="s">
        <v>101</v>
      </c>
      <c r="I112" s="203" t="s">
        <v>112</v>
      </c>
      <c r="J112" s="203" t="s">
        <v>107</v>
      </c>
      <c r="K112" s="203"/>
      <c r="L112" s="203" t="s">
        <v>669</v>
      </c>
      <c r="M112" s="204"/>
      <c r="N112" s="204"/>
      <c r="O112" s="204"/>
      <c r="P112" s="204"/>
      <c r="Q112" s="204"/>
      <c r="R112" s="205"/>
      <c r="S112" s="205" t="s">
        <v>105</v>
      </c>
      <c r="T112" s="205"/>
      <c r="U112" s="205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05"/>
      <c r="AG112" s="205"/>
      <c r="AH112" s="206"/>
      <c r="AI112" s="9"/>
    </row>
    <row r="113" spans="1:35" s="106" customFormat="1" ht="30">
      <c r="A113" s="200"/>
      <c r="B113" s="201" t="s">
        <v>97</v>
      </c>
      <c r="C113" s="201" t="s">
        <v>776</v>
      </c>
      <c r="D113" s="202" t="s">
        <v>777</v>
      </c>
      <c r="E113" s="202" t="s">
        <v>731</v>
      </c>
      <c r="F113" s="203" t="s">
        <v>14</v>
      </c>
      <c r="G113" s="204" t="s">
        <v>11</v>
      </c>
      <c r="H113" s="167" t="s">
        <v>145</v>
      </c>
      <c r="I113" s="203" t="s">
        <v>119</v>
      </c>
      <c r="J113" s="203" t="s">
        <v>107</v>
      </c>
      <c r="K113" s="203"/>
      <c r="L113" s="203" t="s">
        <v>147</v>
      </c>
      <c r="M113" s="204"/>
      <c r="N113" s="204"/>
      <c r="O113" s="204"/>
      <c r="P113" s="204"/>
      <c r="Q113" s="204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205"/>
      <c r="AG113" s="205"/>
      <c r="AH113" s="206"/>
      <c r="AI113" s="9"/>
    </row>
    <row r="114" spans="1:35" ht="30">
      <c r="A114" s="207"/>
      <c r="B114" s="34" t="s">
        <v>97</v>
      </c>
      <c r="C114" s="34" t="s">
        <v>779</v>
      </c>
      <c r="D114" s="13" t="s">
        <v>780</v>
      </c>
      <c r="E114" s="13" t="s">
        <v>731</v>
      </c>
      <c r="F114" s="12" t="s">
        <v>14</v>
      </c>
      <c r="G114" s="55" t="s">
        <v>11</v>
      </c>
      <c r="H114" s="1" t="s">
        <v>145</v>
      </c>
      <c r="I114" s="12" t="s">
        <v>119</v>
      </c>
      <c r="J114" s="12" t="s">
        <v>107</v>
      </c>
      <c r="K114" s="12"/>
      <c r="L114" s="12" t="s">
        <v>147</v>
      </c>
      <c r="M114" s="55"/>
      <c r="N114" s="55"/>
      <c r="O114" s="55"/>
      <c r="P114" s="55"/>
      <c r="Q114" s="55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208"/>
    </row>
    <row r="115" spans="1:35" ht="30">
      <c r="A115" s="209"/>
      <c r="B115" s="210" t="s">
        <v>97</v>
      </c>
      <c r="C115" s="210" t="s">
        <v>781</v>
      </c>
      <c r="D115" s="211" t="s">
        <v>782</v>
      </c>
      <c r="E115" s="211" t="s">
        <v>731</v>
      </c>
      <c r="F115" s="212" t="s">
        <v>14</v>
      </c>
      <c r="G115" s="213" t="s">
        <v>11</v>
      </c>
      <c r="H115" s="214" t="s">
        <v>145</v>
      </c>
      <c r="I115" s="212" t="s">
        <v>119</v>
      </c>
      <c r="J115" s="212" t="s">
        <v>107</v>
      </c>
      <c r="K115" s="212"/>
      <c r="L115" s="212" t="s">
        <v>147</v>
      </c>
      <c r="M115" s="213"/>
      <c r="N115" s="213"/>
      <c r="O115" s="213"/>
      <c r="P115" s="213"/>
      <c r="Q115" s="213"/>
      <c r="R115" s="215"/>
      <c r="S115" s="215"/>
      <c r="T115" s="215"/>
      <c r="U115" s="215"/>
      <c r="V115" s="215"/>
      <c r="W115" s="215"/>
      <c r="X115" s="215"/>
      <c r="Y115" s="215"/>
      <c r="Z115" s="215"/>
      <c r="AA115" s="215"/>
      <c r="AB115" s="215"/>
      <c r="AC115" s="215"/>
      <c r="AD115" s="215"/>
      <c r="AE115" s="215"/>
      <c r="AF115" s="215"/>
      <c r="AG115" s="215"/>
      <c r="AH115" s="216"/>
    </row>
    <row r="118" spans="1:35">
      <c r="A118" s="217"/>
      <c r="B118" s="218" t="s">
        <v>1319</v>
      </c>
      <c r="C118" s="218" t="s">
        <v>1318</v>
      </c>
      <c r="D118" s="218" t="s">
        <v>304</v>
      </c>
      <c r="E118" s="218" t="s">
        <v>1320</v>
      </c>
    </row>
    <row r="119" spans="1:35" ht="30">
      <c r="B119" s="88" t="s">
        <v>105</v>
      </c>
      <c r="C119" s="89" t="s">
        <v>662</v>
      </c>
      <c r="E119" s="106" t="s">
        <v>1321</v>
      </c>
    </row>
    <row r="120" spans="1:35">
      <c r="C120" s="89" t="s">
        <v>851</v>
      </c>
    </row>
    <row r="121" spans="1:35">
      <c r="C121" s="89" t="s">
        <v>856</v>
      </c>
    </row>
    <row r="122" spans="1:35" ht="30">
      <c r="B122" s="88" t="s">
        <v>105</v>
      </c>
      <c r="C122" s="89" t="s">
        <v>741</v>
      </c>
      <c r="E122" s="106" t="s">
        <v>1322</v>
      </c>
    </row>
    <row r="123" spans="1:35">
      <c r="B123" s="88" t="s">
        <v>105</v>
      </c>
      <c r="C123" s="89" t="s">
        <v>864</v>
      </c>
      <c r="E123" s="106" t="s">
        <v>1323</v>
      </c>
    </row>
    <row r="124" spans="1:35">
      <c r="B124" s="88" t="s">
        <v>105</v>
      </c>
      <c r="C124" s="89" t="s">
        <v>702</v>
      </c>
      <c r="E124" s="106" t="s">
        <v>1323</v>
      </c>
    </row>
    <row r="125" spans="1:35">
      <c r="B125" s="88" t="s">
        <v>105</v>
      </c>
      <c r="C125" s="89" t="s">
        <v>147</v>
      </c>
      <c r="E125" s="106" t="s">
        <v>1324</v>
      </c>
    </row>
    <row r="126" spans="1:35">
      <c r="C126" s="89" t="s">
        <v>728</v>
      </c>
    </row>
    <row r="127" spans="1:35">
      <c r="C127" s="89" t="s">
        <v>873</v>
      </c>
    </row>
    <row r="128" spans="1:35">
      <c r="C128" s="89" t="s">
        <v>733</v>
      </c>
    </row>
  </sheetData>
  <phoneticPr fontId="29" type="noConversion"/>
  <conditionalFormatting sqref="B116:C117 B87:C111 B129:C1048576 B119:B128">
    <cfRule type="duplicateValues" dxfId="0" priority="1"/>
  </conditionalFormatting>
  <dataValidations disablePrompts="1" count="1">
    <dataValidation type="list" allowBlank="1" showInputMessage="1" showErrorMessage="1" sqref="M15:M19 I7 I3:I5 I23 I52" xr:uid="{696BB5C2-4431-4C26-A594-4C76A70843B9}">
      <formula1>"Connected product, Edge control, Analytics,"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F5B7E3567D8843BC51123683A17ABC" ma:contentTypeVersion="6" ma:contentTypeDescription="Create a new document." ma:contentTypeScope="" ma:versionID="35064eb6c98dcfaa33bcdb5d1b058e8f">
  <xsd:schema xmlns:xsd="http://www.w3.org/2001/XMLSchema" xmlns:xs="http://www.w3.org/2001/XMLSchema" xmlns:p="http://schemas.microsoft.com/office/2006/metadata/properties" xmlns:ns1="http://schemas.microsoft.com/sharepoint/v3" xmlns:ns2="b84129d7-ecb2-4a28-871a-99abb773fe66" targetNamespace="http://schemas.microsoft.com/office/2006/metadata/properties" ma:root="true" ma:fieldsID="0d061a6db6d9372ac04577271c812b39" ns1:_="" ns2:_="">
    <xsd:import namespace="http://schemas.microsoft.com/sharepoint/v3"/>
    <xsd:import namespace="b84129d7-ecb2-4a28-871a-99abb773fe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129d7-ecb2-4a28-871a-99abb773fe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2574DB1-CCC0-42E9-9AF2-462203B7864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dcmitype/"/>
    <ds:schemaRef ds:uri="6af4bea9-b20f-48fe-8b93-bb93a3b0a1a3"/>
    <ds:schemaRef ds:uri="http://schemas.microsoft.com/office/infopath/2007/PartnerControls"/>
    <ds:schemaRef ds:uri="b7c42ea0-755f-4389-b077-ea1333ad3908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BCD6BFB-5631-4EFF-94A6-696BE49C0EAA}"/>
</file>

<file path=customXml/itemProps3.xml><?xml version="1.0" encoding="utf-8"?>
<ds:datastoreItem xmlns:ds="http://schemas.openxmlformats.org/officeDocument/2006/customXml" ds:itemID="{4CFA80E9-5613-453F-B108-5B9680C5644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DBF6F12-CF35-4590-98EC-71ECA8E3560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SUMUP </vt:lpstr>
      <vt:lpstr>Summary Sheet</vt:lpstr>
      <vt:lpstr>M-o-M</vt:lpstr>
      <vt:lpstr>Capability Table</vt:lpstr>
      <vt:lpstr>Industrial Automation</vt:lpstr>
      <vt:lpstr>Digital Power</vt:lpstr>
      <vt:lpstr>MicroGrid</vt:lpstr>
      <vt:lpstr>EcoStruxure Power</vt:lpstr>
      <vt:lpstr>Power Products</vt:lpstr>
      <vt:lpstr>Secure Power</vt:lpstr>
      <vt:lpstr>Secure Power (OLD)</vt:lpstr>
      <vt:lpstr>Digital Building</vt:lpstr>
      <vt:lpstr>Home &amp; Distribution</vt:lpstr>
      <vt:lpstr>Power System</vt:lpstr>
      <vt:lpstr>Innovation at the edge</vt:lpstr>
      <vt:lpstr>AVEVA</vt:lpstr>
      <vt:lpstr>Do NOT Use</vt:lpstr>
      <vt:lpstr>Secure Power (extra data)</vt:lpstr>
      <vt:lpstr>Secure Power (NEW)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Nikula</dc:creator>
  <cp:keywords/>
  <dc:description/>
  <cp:lastModifiedBy>Fabrice TEA</cp:lastModifiedBy>
  <cp:revision/>
  <dcterms:created xsi:type="dcterms:W3CDTF">2024-06-10T12:29:12Z</dcterms:created>
  <dcterms:modified xsi:type="dcterms:W3CDTF">2025-10-14T14:10:36Z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443d00-af18-408c-9335-47b5de3ec9b9_Enabled">
    <vt:lpwstr>true</vt:lpwstr>
  </property>
  <property fmtid="{D5CDD505-2E9C-101B-9397-08002B2CF9AE}" pid="3" name="MSIP_Label_57443d00-af18-408c-9335-47b5de3ec9b9_SetDate">
    <vt:lpwstr>2024-06-25T07:32:17Z</vt:lpwstr>
  </property>
  <property fmtid="{D5CDD505-2E9C-101B-9397-08002B2CF9AE}" pid="4" name="MSIP_Label_57443d00-af18-408c-9335-47b5de3ec9b9_Method">
    <vt:lpwstr>Privileged</vt:lpwstr>
  </property>
  <property fmtid="{D5CDD505-2E9C-101B-9397-08002B2CF9AE}" pid="5" name="MSIP_Label_57443d00-af18-408c-9335-47b5de3ec9b9_Name">
    <vt:lpwstr>General v2</vt:lpwstr>
  </property>
  <property fmtid="{D5CDD505-2E9C-101B-9397-08002B2CF9AE}" pid="6" name="MSIP_Label_57443d00-af18-408c-9335-47b5de3ec9b9_SiteId">
    <vt:lpwstr>6e51e1ad-c54b-4b39-b598-0ffe9ae68fef</vt:lpwstr>
  </property>
  <property fmtid="{D5CDD505-2E9C-101B-9397-08002B2CF9AE}" pid="7" name="MSIP_Label_57443d00-af18-408c-9335-47b5de3ec9b9_ActionId">
    <vt:lpwstr>b390c06f-de39-4f37-879e-11bdd13a82c2</vt:lpwstr>
  </property>
  <property fmtid="{D5CDD505-2E9C-101B-9397-08002B2CF9AE}" pid="8" name="MSIP_Label_57443d00-af18-408c-9335-47b5de3ec9b9_ContentBits">
    <vt:lpwstr>2</vt:lpwstr>
  </property>
  <property fmtid="{D5CDD505-2E9C-101B-9397-08002B2CF9AE}" pid="9" name="ContentTypeId">
    <vt:lpwstr>0x010100ABF5B7E3567D8843BC51123683A17ABC</vt:lpwstr>
  </property>
  <property fmtid="{D5CDD505-2E9C-101B-9397-08002B2CF9AE}" pid="10" name="MediaServiceImageTags">
    <vt:lpwstr/>
  </property>
  <property fmtid="{D5CDD505-2E9C-101B-9397-08002B2CF9AE}" pid="11" name="Order">
    <vt:r8>213100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</Properties>
</file>